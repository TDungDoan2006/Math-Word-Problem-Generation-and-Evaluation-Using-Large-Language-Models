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Amin\A-Star-AI-for-education\AStar Internship - Question\Data\Evaluated_questions\Claude4\All\recreation\"/>
    </mc:Choice>
  </mc:AlternateContent>
  <xr:revisionPtr revIDLastSave="0" documentId="13_ncr:1_{61DF5E54-171B-4C93-940C-2FDE75E20EC7}" xr6:coauthVersionLast="47" xr6:coauthVersionMax="47" xr10:uidLastSave="{00000000-0000-0000-0000-000000000000}"/>
  <bookViews>
    <workbookView xWindow="-108" yWindow="-108" windowWidth="23256" windowHeight="12456" firstSheet="2" activeTab="5" xr2:uid="{00000000-000D-0000-FFFF-FFFF00000000}"/>
  </bookViews>
  <sheets>
    <sheet name="recreation_claude_v2_1" sheetId="1" r:id="rId1"/>
    <sheet name="recreation_claude_v2_2" sheetId="2" r:id="rId2"/>
    <sheet name="recreation_claude_v2_3" sheetId="3" r:id="rId3"/>
    <sheet name="recreation_claude_v2_4" sheetId="4" r:id="rId4"/>
    <sheet name="recreation_claude_v2_5" sheetId="5" r:id="rId5"/>
    <sheet name="Compiled Vot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4" i="6" l="1"/>
  <c r="K119" i="6"/>
  <c r="E3" i="6"/>
  <c r="F3" i="6" s="1"/>
  <c r="L3" i="6"/>
  <c r="E4" i="6"/>
  <c r="L4" i="6" s="1"/>
  <c r="E5" i="6"/>
  <c r="E6" i="6"/>
  <c r="E7" i="6"/>
  <c r="M7" i="6" s="1"/>
  <c r="E8" i="6"/>
  <c r="F8" i="6" s="1"/>
  <c r="E9" i="6"/>
  <c r="F9" i="6" s="1"/>
  <c r="E10" i="6"/>
  <c r="M10" i="6" s="1"/>
  <c r="E11" i="6"/>
  <c r="G11" i="6" s="1"/>
  <c r="E12" i="6"/>
  <c r="L12" i="6" s="1"/>
  <c r="E13" i="6"/>
  <c r="H13" i="6" s="1"/>
  <c r="E14" i="6"/>
  <c r="F14" i="6" s="1"/>
  <c r="E15" i="6"/>
  <c r="F15" i="6" s="1"/>
  <c r="E16" i="6"/>
  <c r="M16" i="6" s="1"/>
  <c r="E17" i="6"/>
  <c r="J17" i="6" s="1"/>
  <c r="E18" i="6"/>
  <c r="F18" i="6" s="1"/>
  <c r="E19" i="6"/>
  <c r="E20" i="6"/>
  <c r="L20" i="6" s="1"/>
  <c r="E21" i="6"/>
  <c r="H21" i="6" s="1"/>
  <c r="E22" i="6"/>
  <c r="M22" i="6" s="1"/>
  <c r="E23" i="6"/>
  <c r="G23" i="6" s="1"/>
  <c r="E24" i="6"/>
  <c r="F24" i="6" s="1"/>
  <c r="I24" i="6" s="1"/>
  <c r="E25" i="6"/>
  <c r="H25" i="6" s="1"/>
  <c r="E26" i="6"/>
  <c r="M26" i="6" s="1"/>
  <c r="E27" i="6"/>
  <c r="H27" i="6" s="1"/>
  <c r="E28" i="6"/>
  <c r="E29" i="6"/>
  <c r="F29" i="6" s="1"/>
  <c r="I29" i="6" s="1"/>
  <c r="E30" i="6"/>
  <c r="H30" i="6" s="1"/>
  <c r="E31" i="6"/>
  <c r="L31" i="6" s="1"/>
  <c r="E32" i="6"/>
  <c r="F32" i="6" s="1"/>
  <c r="E33" i="6"/>
  <c r="F33" i="6" s="1"/>
  <c r="E34" i="6"/>
  <c r="M34" i="6" s="1"/>
  <c r="E35" i="6"/>
  <c r="J35" i="6" s="1"/>
  <c r="E36" i="6"/>
  <c r="F36" i="6" s="1"/>
  <c r="I36" i="6" s="1"/>
  <c r="E37" i="6"/>
  <c r="F37" i="6" s="1"/>
  <c r="I37" i="6" s="1"/>
  <c r="E38" i="6"/>
  <c r="O38" i="6" s="1"/>
  <c r="E39" i="6"/>
  <c r="M39" i="6" s="1"/>
  <c r="E40" i="6"/>
  <c r="O40" i="6" s="1"/>
  <c r="E41" i="6"/>
  <c r="F41" i="6" s="1"/>
  <c r="E42" i="6"/>
  <c r="G42" i="6" s="1"/>
  <c r="N42" i="6"/>
  <c r="E43" i="6"/>
  <c r="O43" i="6" s="1"/>
  <c r="E44" i="6"/>
  <c r="J44" i="6" s="1"/>
  <c r="E45" i="6"/>
  <c r="F45" i="6" s="1"/>
  <c r="E46" i="6"/>
  <c r="L46" i="6" s="1"/>
  <c r="E47" i="6"/>
  <c r="G47" i="6" s="1"/>
  <c r="E48" i="6"/>
  <c r="L48" i="6" s="1"/>
  <c r="E49" i="6"/>
  <c r="F49" i="6" s="1"/>
  <c r="E50" i="6"/>
  <c r="F50" i="6" s="1"/>
  <c r="E51" i="6"/>
  <c r="H51" i="6" s="1"/>
  <c r="E52" i="6"/>
  <c r="G52" i="6" s="1"/>
  <c r="H52" i="6"/>
  <c r="E53" i="6"/>
  <c r="J53" i="6" s="1"/>
  <c r="E54" i="6"/>
  <c r="E55" i="6"/>
  <c r="E56" i="6"/>
  <c r="F56" i="6" s="1"/>
  <c r="E57" i="6"/>
  <c r="O57" i="6" s="1"/>
  <c r="E58" i="6"/>
  <c r="N58" i="6" s="1"/>
  <c r="E59" i="6"/>
  <c r="G59" i="6" s="1"/>
  <c r="E60" i="6"/>
  <c r="F60" i="6" s="1"/>
  <c r="E61" i="6"/>
  <c r="E62" i="6"/>
  <c r="M62" i="6" s="1"/>
  <c r="E63" i="6"/>
  <c r="M63" i="6" s="1"/>
  <c r="H63" i="6"/>
  <c r="E64" i="6"/>
  <c r="O64" i="6" s="1"/>
  <c r="E65" i="6"/>
  <c r="H65" i="6" s="1"/>
  <c r="E66" i="6"/>
  <c r="G66" i="6" s="1"/>
  <c r="E67" i="6"/>
  <c r="O67" i="6" s="1"/>
  <c r="E68" i="6"/>
  <c r="G68" i="6" s="1"/>
  <c r="E69" i="6"/>
  <c r="N69" i="6" s="1"/>
  <c r="E70" i="6"/>
  <c r="H70" i="6" s="1"/>
  <c r="E71" i="6"/>
  <c r="L71" i="6" s="1"/>
  <c r="E72" i="6"/>
  <c r="E73" i="6"/>
  <c r="F73" i="6" s="1"/>
  <c r="E74" i="6"/>
  <c r="G74" i="6" s="1"/>
  <c r="E75" i="6"/>
  <c r="J75" i="6" s="1"/>
  <c r="E76" i="6"/>
  <c r="L76" i="6" s="1"/>
  <c r="E77" i="6"/>
  <c r="F77" i="6" s="1"/>
  <c r="E78" i="6"/>
  <c r="G78" i="6" s="1"/>
  <c r="E79" i="6"/>
  <c r="M79" i="6" s="1"/>
  <c r="E80" i="6"/>
  <c r="J80" i="6" s="1"/>
  <c r="E81" i="6"/>
  <c r="N81" i="6" s="1"/>
  <c r="E82" i="6"/>
  <c r="G82" i="6" s="1"/>
  <c r="E83" i="6"/>
  <c r="G83" i="6" s="1"/>
  <c r="E84" i="6"/>
  <c r="F84" i="6" s="1"/>
  <c r="I84" i="6" s="1"/>
  <c r="E85" i="6"/>
  <c r="N85" i="6"/>
  <c r="E86" i="6"/>
  <c r="F86" i="6" s="1"/>
  <c r="E87" i="6"/>
  <c r="F87" i="6" s="1"/>
  <c r="E88" i="6"/>
  <c r="M88" i="6" s="1"/>
  <c r="F88" i="6"/>
  <c r="H88" i="6"/>
  <c r="E89" i="6"/>
  <c r="J89" i="6" s="1"/>
  <c r="E90" i="6"/>
  <c r="M90" i="6" s="1"/>
  <c r="E91" i="6"/>
  <c r="F91" i="6" s="1"/>
  <c r="I91" i="6" s="1"/>
  <c r="E92" i="6"/>
  <c r="F92" i="6" s="1"/>
  <c r="E93" i="6"/>
  <c r="O93" i="6" s="1"/>
  <c r="E94" i="6"/>
  <c r="F94" i="6" s="1"/>
  <c r="E95" i="6"/>
  <c r="G95" i="6" s="1"/>
  <c r="E96" i="6"/>
  <c r="H96" i="6" s="1"/>
  <c r="E97" i="6"/>
  <c r="E98" i="6"/>
  <c r="O98" i="6" s="1"/>
  <c r="E99" i="6"/>
  <c r="E100" i="6"/>
  <c r="H100" i="6" s="1"/>
  <c r="E101" i="6"/>
  <c r="J101" i="6" s="1"/>
  <c r="E102" i="6"/>
  <c r="O102" i="6" s="1"/>
  <c r="E103" i="6"/>
  <c r="L103" i="6" s="1"/>
  <c r="E104" i="6"/>
  <c r="F104" i="6" s="1"/>
  <c r="E105" i="6"/>
  <c r="G105" i="6" s="1"/>
  <c r="E106" i="6"/>
  <c r="H106" i="6" s="1"/>
  <c r="E107" i="6"/>
  <c r="L107" i="6" s="1"/>
  <c r="E108" i="6"/>
  <c r="L108" i="6" s="1"/>
  <c r="E109" i="6"/>
  <c r="L109" i="6" s="1"/>
  <c r="E110" i="6"/>
  <c r="F110" i="6" s="1"/>
  <c r="E111" i="6"/>
  <c r="G111" i="6" s="1"/>
  <c r="E112" i="6"/>
  <c r="G112" i="6" s="1"/>
  <c r="E113" i="6"/>
  <c r="F113" i="6" s="1"/>
  <c r="I113" i="6" s="1"/>
  <c r="J114" i="6"/>
  <c r="E115" i="6"/>
  <c r="L115" i="6" s="1"/>
  <c r="E116" i="6"/>
  <c r="M116" i="6" s="1"/>
  <c r="F116" i="6"/>
  <c r="E117" i="6"/>
  <c r="O117" i="6" s="1"/>
  <c r="E118" i="6"/>
  <c r="L118" i="6" s="1"/>
  <c r="E119" i="6"/>
  <c r="G119" i="6" s="1"/>
  <c r="F119" i="6"/>
  <c r="E120" i="6"/>
  <c r="H120" i="6" s="1"/>
  <c r="E121" i="6"/>
  <c r="J121" i="6" s="1"/>
  <c r="E122" i="6"/>
  <c r="G122" i="6" s="1"/>
  <c r="E123" i="6"/>
  <c r="F123" i="6" s="1"/>
  <c r="E124" i="6"/>
  <c r="E125" i="6"/>
  <c r="H125" i="6" s="1"/>
  <c r="E126" i="6"/>
  <c r="F126" i="6" s="1"/>
  <c r="I126" i="6" s="1"/>
  <c r="E127" i="6"/>
  <c r="L127" i="6" s="1"/>
  <c r="E128" i="6"/>
  <c r="N128" i="6" s="1"/>
  <c r="E129" i="6"/>
  <c r="F129" i="6" s="1"/>
  <c r="E130" i="6"/>
  <c r="H130" i="6" s="1"/>
  <c r="E131" i="6"/>
  <c r="H131" i="6" s="1"/>
  <c r="G131" i="6"/>
  <c r="E132" i="6"/>
  <c r="J132" i="6" s="1"/>
  <c r="E133" i="6"/>
  <c r="M133" i="6" s="1"/>
  <c r="E134" i="6"/>
  <c r="J134" i="6" s="1"/>
  <c r="E135" i="6"/>
  <c r="F135" i="6" s="1"/>
  <c r="E136" i="6"/>
  <c r="H136" i="6" s="1"/>
  <c r="E137" i="6"/>
  <c r="H137" i="6" s="1"/>
  <c r="E138" i="6"/>
  <c r="F138" i="6" s="1"/>
  <c r="E139" i="6"/>
  <c r="G139" i="6" s="1"/>
  <c r="E140" i="6"/>
  <c r="O140" i="6" s="1"/>
  <c r="E141" i="6"/>
  <c r="G141" i="6" s="1"/>
  <c r="E142" i="6"/>
  <c r="O142" i="6" s="1"/>
  <c r="E143" i="6"/>
  <c r="M143" i="6" s="1"/>
  <c r="E144" i="6"/>
  <c r="L144" i="6" s="1"/>
  <c r="E145" i="6"/>
  <c r="M145" i="6" s="1"/>
  <c r="E146" i="6"/>
  <c r="F146" i="6" s="1"/>
  <c r="I146" i="6" s="1"/>
  <c r="E147" i="6"/>
  <c r="F147" i="6" s="1"/>
  <c r="E148" i="6"/>
  <c r="E149" i="6"/>
  <c r="F149" i="6" s="1"/>
  <c r="E150" i="6"/>
  <c r="F150" i="6" s="1"/>
  <c r="I150" i="6" s="1"/>
  <c r="E151" i="6"/>
  <c r="L151" i="6" s="1"/>
  <c r="E152" i="6"/>
  <c r="G152" i="6" s="1"/>
  <c r="E153" i="6"/>
  <c r="L153" i="6" s="1"/>
  <c r="E154" i="6"/>
  <c r="J154" i="6" s="1"/>
  <c r="E155" i="6"/>
  <c r="N155" i="6" s="1"/>
  <c r="E156" i="6"/>
  <c r="M156" i="6" s="1"/>
  <c r="E157" i="6"/>
  <c r="J157" i="6" s="1"/>
  <c r="E158" i="6"/>
  <c r="N158" i="6" s="1"/>
  <c r="E159" i="6"/>
  <c r="G159" i="6" s="1"/>
  <c r="E160" i="6"/>
  <c r="F160" i="6" s="1"/>
  <c r="E161" i="6"/>
  <c r="G161" i="6" s="1"/>
  <c r="E162" i="6"/>
  <c r="G162" i="6" s="1"/>
  <c r="E163" i="6"/>
  <c r="G163" i="6" s="1"/>
  <c r="E164" i="6"/>
  <c r="F164" i="6" s="1"/>
  <c r="E165" i="6"/>
  <c r="G165" i="6" s="1"/>
  <c r="E166" i="6"/>
  <c r="H166" i="6" s="1"/>
  <c r="E167" i="6"/>
  <c r="H167" i="6" s="1"/>
  <c r="E168" i="6"/>
  <c r="F168" i="6" s="1"/>
  <c r="E169" i="6"/>
  <c r="G169" i="6" s="1"/>
  <c r="E170" i="6"/>
  <c r="F170" i="6" s="1"/>
  <c r="I170" i="6" s="1"/>
  <c r="E171" i="6"/>
  <c r="F171" i="6" s="1"/>
  <c r="E172" i="6"/>
  <c r="H172" i="6" s="1"/>
  <c r="E173" i="6"/>
  <c r="F173" i="6" s="1"/>
  <c r="E174" i="6"/>
  <c r="F174" i="6" s="1"/>
  <c r="H174" i="6"/>
  <c r="E175" i="6"/>
  <c r="F175" i="6" s="1"/>
  <c r="E176" i="6"/>
  <c r="M176" i="6" s="1"/>
  <c r="E177" i="6"/>
  <c r="N177" i="6" s="1"/>
  <c r="E2" i="6"/>
  <c r="J2" i="6" s="1"/>
  <c r="K45" i="6" l="1"/>
  <c r="K77" i="6"/>
  <c r="K138" i="6"/>
  <c r="K116" i="6"/>
  <c r="K15" i="6"/>
  <c r="K173" i="6"/>
  <c r="J42" i="6"/>
  <c r="K29" i="6"/>
  <c r="H42" i="6"/>
  <c r="G20" i="6"/>
  <c r="N147" i="6"/>
  <c r="M48" i="6"/>
  <c r="G40" i="6"/>
  <c r="I15" i="6"/>
  <c r="I77" i="6"/>
  <c r="I119" i="6"/>
  <c r="I164" i="6"/>
  <c r="J177" i="6"/>
  <c r="N167" i="6"/>
  <c r="F145" i="6"/>
  <c r="H101" i="6"/>
  <c r="H90" i="6"/>
  <c r="H59" i="6"/>
  <c r="F140" i="6"/>
  <c r="H80" i="6"/>
  <c r="F12" i="6"/>
  <c r="K12" i="6" s="1"/>
  <c r="G177" i="6"/>
  <c r="O167" i="6"/>
  <c r="F157" i="6"/>
  <c r="K157" i="6" s="1"/>
  <c r="G104" i="6"/>
  <c r="K104" i="6" s="1"/>
  <c r="F46" i="6"/>
  <c r="J39" i="6"/>
  <c r="J93" i="6"/>
  <c r="L92" i="6"/>
  <c r="N52" i="6"/>
  <c r="J37" i="6"/>
  <c r="O16" i="6"/>
  <c r="H177" i="6"/>
  <c r="F159" i="6"/>
  <c r="K159" i="6" s="1"/>
  <c r="H150" i="6"/>
  <c r="H113" i="6"/>
  <c r="O147" i="6"/>
  <c r="F139" i="6"/>
  <c r="K139" i="6" s="1"/>
  <c r="J84" i="6"/>
  <c r="O52" i="6"/>
  <c r="G45" i="6"/>
  <c r="G8" i="6"/>
  <c r="K8" i="6" s="1"/>
  <c r="M127" i="6"/>
  <c r="J108" i="6"/>
  <c r="N154" i="6"/>
  <c r="J92" i="6"/>
  <c r="G34" i="6"/>
  <c r="F165" i="6"/>
  <c r="K165" i="6" s="1"/>
  <c r="F141" i="6"/>
  <c r="H132" i="6"/>
  <c r="M98" i="6"/>
  <c r="H92" i="6"/>
  <c r="N25" i="6"/>
  <c r="G172" i="6"/>
  <c r="H155" i="6"/>
  <c r="M122" i="6"/>
  <c r="J98" i="6"/>
  <c r="G92" i="6"/>
  <c r="K92" i="6" s="1"/>
  <c r="M46" i="6"/>
  <c r="L40" i="6"/>
  <c r="M119" i="6"/>
  <c r="O29" i="6"/>
  <c r="F172" i="6"/>
  <c r="G176" i="6"/>
  <c r="J152" i="6"/>
  <c r="L119" i="6"/>
  <c r="H102" i="6"/>
  <c r="N70" i="6"/>
  <c r="J29" i="6"/>
  <c r="J20" i="6"/>
  <c r="I168" i="6"/>
  <c r="M167" i="6"/>
  <c r="O161" i="6"/>
  <c r="L88" i="6"/>
  <c r="L167" i="6"/>
  <c r="J161" i="6"/>
  <c r="N142" i="6"/>
  <c r="J128" i="6"/>
  <c r="J113" i="6"/>
  <c r="F106" i="6"/>
  <c r="I88" i="6"/>
  <c r="O70" i="6"/>
  <c r="N46" i="6"/>
  <c r="F27" i="6"/>
  <c r="K27" i="6" s="1"/>
  <c r="N140" i="6"/>
  <c r="M164" i="6"/>
  <c r="F158" i="6"/>
  <c r="F152" i="6"/>
  <c r="K152" i="6" s="1"/>
  <c r="G147" i="6"/>
  <c r="K147" i="6" s="1"/>
  <c r="M140" i="6"/>
  <c r="F125" i="6"/>
  <c r="F111" i="6"/>
  <c r="K111" i="6" s="1"/>
  <c r="O103" i="6"/>
  <c r="F51" i="6"/>
  <c r="K51" i="6" s="1"/>
  <c r="L16" i="6"/>
  <c r="L164" i="6"/>
  <c r="L140" i="6"/>
  <c r="G38" i="6"/>
  <c r="H164" i="6"/>
  <c r="F151" i="6"/>
  <c r="J140" i="6"/>
  <c r="J102" i="6"/>
  <c r="L90" i="6"/>
  <c r="O66" i="6"/>
  <c r="F38" i="6"/>
  <c r="K38" i="6" s="1"/>
  <c r="O144" i="6"/>
  <c r="M134" i="6"/>
  <c r="G123" i="6"/>
  <c r="K123" i="6" s="1"/>
  <c r="G113" i="6"/>
  <c r="K113" i="6" s="1"/>
  <c r="H84" i="6"/>
  <c r="H46" i="6"/>
  <c r="M25" i="6"/>
  <c r="M12" i="6"/>
  <c r="L177" i="6"/>
  <c r="J144" i="6"/>
  <c r="H140" i="6"/>
  <c r="M128" i="6"/>
  <c r="O107" i="6"/>
  <c r="L102" i="6"/>
  <c r="L98" i="6"/>
  <c r="F78" i="6"/>
  <c r="G51" i="6"/>
  <c r="G46" i="6"/>
  <c r="J25" i="6"/>
  <c r="H12" i="6"/>
  <c r="F177" i="6"/>
  <c r="F161" i="6"/>
  <c r="K161" i="6" s="1"/>
  <c r="H151" i="6"/>
  <c r="M147" i="6"/>
  <c r="H142" i="6"/>
  <c r="F132" i="6"/>
  <c r="H127" i="6"/>
  <c r="H111" i="6"/>
  <c r="F105" i="6"/>
  <c r="K105" i="6" s="1"/>
  <c r="M101" i="6"/>
  <c r="J96" i="6"/>
  <c r="M81" i="6"/>
  <c r="N75" i="6"/>
  <c r="G63" i="6"/>
  <c r="N49" i="6"/>
  <c r="G22" i="6"/>
  <c r="N16" i="6"/>
  <c r="J10" i="6"/>
  <c r="N3" i="6"/>
  <c r="M155" i="6"/>
  <c r="G151" i="6"/>
  <c r="H147" i="6"/>
  <c r="G120" i="6"/>
  <c r="N115" i="6"/>
  <c r="F96" i="6"/>
  <c r="H91" i="6"/>
  <c r="G87" i="6"/>
  <c r="K87" i="6" s="1"/>
  <c r="L81" i="6"/>
  <c r="M75" i="6"/>
  <c r="H69" i="6"/>
  <c r="F44" i="6"/>
  <c r="K44" i="6" s="1"/>
  <c r="O39" i="6"/>
  <c r="H34" i="6"/>
  <c r="G27" i="6"/>
  <c r="F22" i="6"/>
  <c r="M3" i="6"/>
  <c r="G170" i="6"/>
  <c r="K170" i="6" s="1"/>
  <c r="J137" i="6"/>
  <c r="O104" i="6"/>
  <c r="G81" i="6"/>
  <c r="L75" i="6"/>
  <c r="N39" i="6"/>
  <c r="G9" i="6"/>
  <c r="K9" i="6" s="1"/>
  <c r="G160" i="6"/>
  <c r="K160" i="6" s="1"/>
  <c r="L155" i="6"/>
  <c r="M131" i="6"/>
  <c r="J155" i="6"/>
  <c r="G137" i="6"/>
  <c r="L131" i="6"/>
  <c r="G125" i="6"/>
  <c r="O119" i="6"/>
  <c r="H114" i="6"/>
  <c r="H104" i="6"/>
  <c r="N90" i="6"/>
  <c r="F81" i="6"/>
  <c r="K81" i="6" s="1"/>
  <c r="G75" i="6"/>
  <c r="F62" i="6"/>
  <c r="L39" i="6"/>
  <c r="N21" i="6"/>
  <c r="F176" i="6"/>
  <c r="K176" i="6" s="1"/>
  <c r="J167" i="6"/>
  <c r="J153" i="6"/>
  <c r="M142" i="6"/>
  <c r="F131" i="6"/>
  <c r="K131" i="6" s="1"/>
  <c r="L126" i="6"/>
  <c r="H75" i="6"/>
  <c r="M70" i="6"/>
  <c r="J46" i="6"/>
  <c r="L42" i="6"/>
  <c r="G39" i="6"/>
  <c r="F20" i="6"/>
  <c r="K20" i="6" s="1"/>
  <c r="H10" i="6"/>
  <c r="O3" i="6"/>
  <c r="M126" i="6"/>
  <c r="J126" i="6"/>
  <c r="L145" i="6"/>
  <c r="N133" i="6"/>
  <c r="O108" i="6"/>
  <c r="G91" i="6"/>
  <c r="K91" i="6" s="1"/>
  <c r="J78" i="6"/>
  <c r="F75" i="6"/>
  <c r="N38" i="6"/>
  <c r="O22" i="6"/>
  <c r="H153" i="6"/>
  <c r="L78" i="6"/>
  <c r="N165" i="6"/>
  <c r="L133" i="6"/>
  <c r="H126" i="6"/>
  <c r="N116" i="6"/>
  <c r="N108" i="6"/>
  <c r="O81" i="6"/>
  <c r="H78" i="6"/>
  <c r="J56" i="6"/>
  <c r="M38" i="6"/>
  <c r="N22" i="6"/>
  <c r="O18" i="6"/>
  <c r="L13" i="6"/>
  <c r="G30" i="6"/>
  <c r="O133" i="6"/>
  <c r="G153" i="6"/>
  <c r="J145" i="6"/>
  <c r="L174" i="6"/>
  <c r="J165" i="6"/>
  <c r="F153" i="6"/>
  <c r="K153" i="6" s="1"/>
  <c r="G145" i="6"/>
  <c r="O137" i="6"/>
  <c r="H133" i="6"/>
  <c r="O128" i="6"/>
  <c r="G126" i="6"/>
  <c r="K126" i="6" s="1"/>
  <c r="G116" i="6"/>
  <c r="M108" i="6"/>
  <c r="O90" i="6"/>
  <c r="F74" i="6"/>
  <c r="K74" i="6" s="1"/>
  <c r="F68" i="6"/>
  <c r="K68" i="6" s="1"/>
  <c r="J62" i="6"/>
  <c r="H56" i="6"/>
  <c r="L38" i="6"/>
  <c r="H18" i="6"/>
  <c r="G13" i="6"/>
  <c r="I147" i="6"/>
  <c r="I149" i="6"/>
  <c r="I92" i="6"/>
  <c r="F2" i="6"/>
  <c r="K2" i="6" s="1"/>
  <c r="O2" i="6"/>
  <c r="N2" i="6"/>
  <c r="O176" i="6"/>
  <c r="N51" i="6"/>
  <c r="O27" i="6"/>
  <c r="H2" i="6"/>
  <c r="N176" i="6"/>
  <c r="H152" i="6"/>
  <c r="F144" i="6"/>
  <c r="L141" i="6"/>
  <c r="G140" i="6"/>
  <c r="F137" i="6"/>
  <c r="K137" i="6" s="1"/>
  <c r="J133" i="6"/>
  <c r="O125" i="6"/>
  <c r="O122" i="6"/>
  <c r="G107" i="6"/>
  <c r="G90" i="6"/>
  <c r="O76" i="6"/>
  <c r="L70" i="6"/>
  <c r="M51" i="6"/>
  <c r="N45" i="6"/>
  <c r="H39" i="6"/>
  <c r="N27" i="6"/>
  <c r="L25" i="6"/>
  <c r="G18" i="6"/>
  <c r="K18" i="6" s="1"/>
  <c r="O14" i="6"/>
  <c r="J3" i="6"/>
  <c r="L2" i="6"/>
  <c r="O51" i="6"/>
  <c r="M141" i="6"/>
  <c r="L176" i="6"/>
  <c r="J141" i="6"/>
  <c r="J130" i="6"/>
  <c r="O82" i="6"/>
  <c r="M76" i="6"/>
  <c r="J70" i="6"/>
  <c r="M60" i="6"/>
  <c r="L51" i="6"/>
  <c r="M27" i="6"/>
  <c r="L14" i="6"/>
  <c r="H3" i="6"/>
  <c r="M2" i="6"/>
  <c r="G2" i="6"/>
  <c r="N169" i="6"/>
  <c r="O159" i="6"/>
  <c r="O156" i="6"/>
  <c r="O153" i="6"/>
  <c r="N125" i="6"/>
  <c r="H118" i="6"/>
  <c r="N112" i="6"/>
  <c r="J176" i="6"/>
  <c r="M169" i="6"/>
  <c r="F163" i="6"/>
  <c r="K163" i="6" s="1"/>
  <c r="N159" i="6"/>
  <c r="N156" i="6"/>
  <c r="N153" i="6"/>
  <c r="G149" i="6"/>
  <c r="K149" i="6" s="1"/>
  <c r="G146" i="6"/>
  <c r="K146" i="6" s="1"/>
  <c r="H143" i="6"/>
  <c r="N136" i="6"/>
  <c r="G133" i="6"/>
  <c r="M125" i="6"/>
  <c r="G118" i="6"/>
  <c r="N114" i="6"/>
  <c r="M112" i="6"/>
  <c r="O109" i="6"/>
  <c r="M106" i="6"/>
  <c r="M103" i="6"/>
  <c r="O89" i="6"/>
  <c r="G86" i="6"/>
  <c r="K86" i="6" s="1"/>
  <c r="N82" i="6"/>
  <c r="G70" i="6"/>
  <c r="L60" i="6"/>
  <c r="J51" i="6"/>
  <c r="H47" i="6"/>
  <c r="F42" i="6"/>
  <c r="K42" i="6" s="1"/>
  <c r="F39" i="6"/>
  <c r="K39" i="6" s="1"/>
  <c r="M36" i="6"/>
  <c r="L27" i="6"/>
  <c r="M17" i="6"/>
  <c r="O10" i="6"/>
  <c r="G3" i="6"/>
  <c r="K3" i="6" s="1"/>
  <c r="O177" i="6"/>
  <c r="H176" i="6"/>
  <c r="M159" i="6"/>
  <c r="J156" i="6"/>
  <c r="M153" i="6"/>
  <c r="H141" i="6"/>
  <c r="J139" i="6"/>
  <c r="G130" i="6"/>
  <c r="O126" i="6"/>
  <c r="L125" i="6"/>
  <c r="F118" i="6"/>
  <c r="M114" i="6"/>
  <c r="L112" i="6"/>
  <c r="N109" i="6"/>
  <c r="L106" i="6"/>
  <c r="N89" i="6"/>
  <c r="H82" i="6"/>
  <c r="N73" i="6"/>
  <c r="F70" i="6"/>
  <c r="K70" i="6" s="1"/>
  <c r="J60" i="6"/>
  <c r="M53" i="6"/>
  <c r="H36" i="6"/>
  <c r="J30" i="6"/>
  <c r="J27" i="6"/>
  <c r="M20" i="6"/>
  <c r="N10" i="6"/>
  <c r="O141" i="6"/>
  <c r="N141" i="6"/>
  <c r="M177" i="6"/>
  <c r="O165" i="6"/>
  <c r="H159" i="6"/>
  <c r="F156" i="6"/>
  <c r="I151" i="6"/>
  <c r="H139" i="6"/>
  <c r="F130" i="6"/>
  <c r="K130" i="6" s="1"/>
  <c r="N126" i="6"/>
  <c r="J125" i="6"/>
  <c r="L114" i="6"/>
  <c r="F109" i="6"/>
  <c r="K109" i="6" s="1"/>
  <c r="J91" i="6"/>
  <c r="M89" i="6"/>
  <c r="O75" i="6"/>
  <c r="J73" i="6"/>
  <c r="O46" i="6"/>
  <c r="N13" i="6"/>
  <c r="I56" i="6"/>
  <c r="I50" i="6"/>
  <c r="I174" i="6"/>
  <c r="G148" i="6"/>
  <c r="F148" i="6"/>
  <c r="K148" i="6" s="1"/>
  <c r="F54" i="6"/>
  <c r="K54" i="6" s="1"/>
  <c r="N54" i="6"/>
  <c r="H54" i="6"/>
  <c r="O54" i="6"/>
  <c r="F124" i="6"/>
  <c r="K124" i="6" s="1"/>
  <c r="G124" i="6"/>
  <c r="O61" i="6"/>
  <c r="F61" i="6"/>
  <c r="J61" i="6"/>
  <c r="L61" i="6"/>
  <c r="N61" i="6"/>
  <c r="F166" i="6"/>
  <c r="N166" i="6"/>
  <c r="F100" i="6"/>
  <c r="G100" i="6"/>
  <c r="L94" i="6"/>
  <c r="N94" i="6"/>
  <c r="L120" i="6"/>
  <c r="O120" i="6"/>
  <c r="L87" i="6"/>
  <c r="H87" i="6"/>
  <c r="N87" i="6"/>
  <c r="O87" i="6"/>
  <c r="G150" i="6"/>
  <c r="K150" i="6" s="1"/>
  <c r="J150" i="6"/>
  <c r="L132" i="6"/>
  <c r="G132" i="6"/>
  <c r="M132" i="6"/>
  <c r="G127" i="6"/>
  <c r="J127" i="6"/>
  <c r="O127" i="6"/>
  <c r="M30" i="6"/>
  <c r="N30" i="6"/>
  <c r="O30" i="6"/>
  <c r="H157" i="6"/>
  <c r="G157" i="6"/>
  <c r="L93" i="6"/>
  <c r="M93" i="6"/>
  <c r="N93" i="6"/>
  <c r="H76" i="6"/>
  <c r="N76" i="6"/>
  <c r="F63" i="6"/>
  <c r="K63" i="6" s="1"/>
  <c r="J63" i="6"/>
  <c r="L63" i="6"/>
  <c r="N63" i="6"/>
  <c r="O63" i="6"/>
  <c r="H45" i="6"/>
  <c r="O45" i="6"/>
  <c r="H23" i="6"/>
  <c r="O23" i="6"/>
  <c r="I14" i="6"/>
  <c r="L169" i="6"/>
  <c r="J164" i="6"/>
  <c r="G164" i="6"/>
  <c r="K164" i="6" s="1"/>
  <c r="H145" i="6"/>
  <c r="O145" i="6"/>
  <c r="G117" i="6"/>
  <c r="F117" i="6"/>
  <c r="K117" i="6" s="1"/>
  <c r="M113" i="6"/>
  <c r="N113" i="6"/>
  <c r="J106" i="6"/>
  <c r="G106" i="6"/>
  <c r="L79" i="6"/>
  <c r="O79" i="6"/>
  <c r="J66" i="6"/>
  <c r="L34" i="6"/>
  <c r="F34" i="6"/>
  <c r="J34" i="6"/>
  <c r="N34" i="6"/>
  <c r="O34" i="6"/>
  <c r="H14" i="6"/>
  <c r="G14" i="6"/>
  <c r="K14" i="6" s="1"/>
  <c r="J14" i="6"/>
  <c r="M14" i="6"/>
  <c r="N14" i="6"/>
  <c r="G174" i="6"/>
  <c r="K174" i="6" s="1"/>
  <c r="J169" i="6"/>
  <c r="H161" i="6"/>
  <c r="M154" i="6"/>
  <c r="F142" i="6"/>
  <c r="L142" i="6"/>
  <c r="J142" i="6"/>
  <c r="G136" i="6"/>
  <c r="M107" i="6"/>
  <c r="L82" i="6"/>
  <c r="F82" i="6"/>
  <c r="K82" i="6" s="1"/>
  <c r="J82" i="6"/>
  <c r="M82" i="6"/>
  <c r="H66" i="6"/>
  <c r="G56" i="6"/>
  <c r="K56" i="6" s="1"/>
  <c r="F26" i="6"/>
  <c r="N26" i="6"/>
  <c r="O26" i="6"/>
  <c r="J26" i="6"/>
  <c r="L26" i="6"/>
  <c r="O20" i="6"/>
  <c r="H20" i="6"/>
  <c r="N20" i="6"/>
  <c r="O166" i="6"/>
  <c r="L156" i="6"/>
  <c r="F136" i="6"/>
  <c r="K136" i="6" s="1"/>
  <c r="F122" i="6"/>
  <c r="K122" i="6" s="1"/>
  <c r="L122" i="6"/>
  <c r="M102" i="6"/>
  <c r="N102" i="6"/>
  <c r="H98" i="6"/>
  <c r="N98" i="6"/>
  <c r="O94" i="6"/>
  <c r="J90" i="6"/>
  <c r="G88" i="6"/>
  <c r="K88" i="6" s="1"/>
  <c r="H85" i="6"/>
  <c r="J85" i="6"/>
  <c r="L85" i="6"/>
  <c r="M85" i="6"/>
  <c r="J32" i="6"/>
  <c r="G16" i="6"/>
  <c r="H16" i="6"/>
  <c r="M13" i="6"/>
  <c r="O7" i="6"/>
  <c r="F7" i="6"/>
  <c r="G7" i="6"/>
  <c r="F97" i="6"/>
  <c r="G97" i="6"/>
  <c r="J97" i="6"/>
  <c r="N97" i="6"/>
  <c r="O97" i="6"/>
  <c r="L58" i="6"/>
  <c r="M58" i="6"/>
  <c r="O58" i="6"/>
  <c r="F5" i="6"/>
  <c r="K5" i="6" s="1"/>
  <c r="J5" i="6"/>
  <c r="G173" i="6"/>
  <c r="J173" i="6"/>
  <c r="J15" i="6"/>
  <c r="L15" i="6"/>
  <c r="N15" i="6"/>
  <c r="O15" i="6"/>
  <c r="J170" i="6"/>
  <c r="M170" i="6"/>
  <c r="L170" i="6"/>
  <c r="J162" i="6"/>
  <c r="F162" i="6"/>
  <c r="K162" i="6" s="1"/>
  <c r="H162" i="6"/>
  <c r="F134" i="6"/>
  <c r="L134" i="6"/>
  <c r="J115" i="6"/>
  <c r="M115" i="6"/>
  <c r="H57" i="6"/>
  <c r="M57" i="6"/>
  <c r="N57" i="6"/>
  <c r="F48" i="6"/>
  <c r="H48" i="6"/>
  <c r="J48" i="6"/>
  <c r="H9" i="6"/>
  <c r="O9" i="6"/>
  <c r="I45" i="6"/>
  <c r="J174" i="6"/>
  <c r="M174" i="6"/>
  <c r="H169" i="6"/>
  <c r="F169" i="6"/>
  <c r="K169" i="6" s="1"/>
  <c r="M166" i="6"/>
  <c r="O158" i="6"/>
  <c r="O152" i="6"/>
  <c r="O148" i="6"/>
  <c r="M97" i="6"/>
  <c r="M94" i="6"/>
  <c r="M66" i="6"/>
  <c r="L66" i="6"/>
  <c r="N66" i="6"/>
  <c r="J58" i="6"/>
  <c r="O56" i="6"/>
  <c r="L56" i="6"/>
  <c r="M56" i="6"/>
  <c r="N56" i="6"/>
  <c r="J50" i="6"/>
  <c r="G50" i="6"/>
  <c r="K50" i="6" s="1"/>
  <c r="M15" i="6"/>
  <c r="F6" i="6"/>
  <c r="K6" i="6" s="1"/>
  <c r="G6" i="6"/>
  <c r="L173" i="6"/>
  <c r="O170" i="6"/>
  <c r="L166" i="6"/>
  <c r="L165" i="6"/>
  <c r="H165" i="6"/>
  <c r="M165" i="6"/>
  <c r="M158" i="6"/>
  <c r="F154" i="6"/>
  <c r="H154" i="6"/>
  <c r="L154" i="6"/>
  <c r="O154" i="6"/>
  <c r="N152" i="6"/>
  <c r="N148" i="6"/>
  <c r="I140" i="6"/>
  <c r="N120" i="6"/>
  <c r="J119" i="6"/>
  <c r="H119" i="6"/>
  <c r="N119" i="6"/>
  <c r="F114" i="6"/>
  <c r="O114" i="6"/>
  <c r="J107" i="6"/>
  <c r="H107" i="6"/>
  <c r="N107" i="6"/>
  <c r="L97" i="6"/>
  <c r="J94" i="6"/>
  <c r="G71" i="6"/>
  <c r="H71" i="6"/>
  <c r="J71" i="6"/>
  <c r="N71" i="6"/>
  <c r="O71" i="6"/>
  <c r="F69" i="6"/>
  <c r="L69" i="6"/>
  <c r="M69" i="6"/>
  <c r="M61" i="6"/>
  <c r="H58" i="6"/>
  <c r="H15" i="6"/>
  <c r="O5" i="6"/>
  <c r="I173" i="6"/>
  <c r="N170" i="6"/>
  <c r="J166" i="6"/>
  <c r="O164" i="6"/>
  <c r="L162" i="6"/>
  <c r="L158" i="6"/>
  <c r="M152" i="6"/>
  <c r="J151" i="6"/>
  <c r="M151" i="6"/>
  <c r="H148" i="6"/>
  <c r="M144" i="6"/>
  <c r="N144" i="6"/>
  <c r="O132" i="6"/>
  <c r="F128" i="6"/>
  <c r="K128" i="6" s="1"/>
  <c r="L128" i="6"/>
  <c r="J124" i="6"/>
  <c r="M120" i="6"/>
  <c r="O113" i="6"/>
  <c r="O106" i="6"/>
  <c r="H94" i="6"/>
  <c r="M87" i="6"/>
  <c r="H68" i="6"/>
  <c r="F65" i="6"/>
  <c r="J65" i="6"/>
  <c r="H61" i="6"/>
  <c r="G58" i="6"/>
  <c r="F55" i="6"/>
  <c r="G55" i="6"/>
  <c r="M43" i="6"/>
  <c r="F43" i="6"/>
  <c r="K43" i="6" s="1"/>
  <c r="G43" i="6"/>
  <c r="J43" i="6"/>
  <c r="L43" i="6"/>
  <c r="M40" i="6"/>
  <c r="N40" i="6"/>
  <c r="O35" i="6"/>
  <c r="F31" i="6"/>
  <c r="G31" i="6"/>
  <c r="M31" i="6"/>
  <c r="O31" i="6"/>
  <c r="N5" i="6"/>
  <c r="H173" i="6"/>
  <c r="H170" i="6"/>
  <c r="N168" i="6"/>
  <c r="J168" i="6"/>
  <c r="N164" i="6"/>
  <c r="I160" i="6"/>
  <c r="G158" i="6"/>
  <c r="O155" i="6"/>
  <c r="L152" i="6"/>
  <c r="L150" i="6"/>
  <c r="N145" i="6"/>
  <c r="J143" i="6"/>
  <c r="O134" i="6"/>
  <c r="N132" i="6"/>
  <c r="O130" i="6"/>
  <c r="N127" i="6"/>
  <c r="H124" i="6"/>
  <c r="J120" i="6"/>
  <c r="O115" i="6"/>
  <c r="L113" i="6"/>
  <c r="O112" i="6"/>
  <c r="J112" i="6"/>
  <c r="F112" i="6"/>
  <c r="K112" i="6" s="1"/>
  <c r="H112" i="6"/>
  <c r="N106" i="6"/>
  <c r="N101" i="6"/>
  <c r="F101" i="6"/>
  <c r="G101" i="6"/>
  <c r="H97" i="6"/>
  <c r="G94" i="6"/>
  <c r="K94" i="6" s="1"/>
  <c r="O92" i="6"/>
  <c r="M92" i="6"/>
  <c r="N92" i="6"/>
  <c r="J87" i="6"/>
  <c r="G61" i="6"/>
  <c r="F58" i="6"/>
  <c r="K58" i="6" s="1"/>
  <c r="G54" i="6"/>
  <c r="O48" i="6"/>
  <c r="N35" i="6"/>
  <c r="L30" i="6"/>
  <c r="G15" i="6"/>
  <c r="I9" i="6"/>
  <c r="M5" i="6"/>
  <c r="O59" i="6"/>
  <c r="M52" i="6"/>
  <c r="H38" i="6"/>
  <c r="J38" i="6"/>
  <c r="N29" i="6"/>
  <c r="O25" i="6"/>
  <c r="F25" i="6"/>
  <c r="G25" i="6"/>
  <c r="L22" i="6"/>
  <c r="H22" i="6"/>
  <c r="J22" i="6"/>
  <c r="L10" i="6"/>
  <c r="F10" i="6"/>
  <c r="G10" i="6"/>
  <c r="O110" i="6"/>
  <c r="G110" i="6"/>
  <c r="K110" i="6" s="1"/>
  <c r="N59" i="6"/>
  <c r="L52" i="6"/>
  <c r="L37" i="6"/>
  <c r="M29" i="6"/>
  <c r="O21" i="6"/>
  <c r="N18" i="6"/>
  <c r="G28" i="6"/>
  <c r="H28" i="6"/>
  <c r="N12" i="6"/>
  <c r="J12" i="6"/>
  <c r="I138" i="6"/>
  <c r="I33" i="6"/>
  <c r="I105" i="6"/>
  <c r="G138" i="6"/>
  <c r="N72" i="6"/>
  <c r="G72" i="6"/>
  <c r="H72" i="6"/>
  <c r="F72" i="6"/>
  <c r="K72" i="6" s="1"/>
  <c r="J72" i="6"/>
  <c r="L72" i="6"/>
  <c r="M72" i="6"/>
  <c r="O72" i="6"/>
  <c r="I135" i="6"/>
  <c r="O135" i="6"/>
  <c r="H135" i="6"/>
  <c r="J135" i="6"/>
  <c r="G135" i="6"/>
  <c r="K135" i="6" s="1"/>
  <c r="M135" i="6"/>
  <c r="L135" i="6"/>
  <c r="N135" i="6"/>
  <c r="H129" i="6"/>
  <c r="J129" i="6"/>
  <c r="L129" i="6"/>
  <c r="G129" i="6"/>
  <c r="K129" i="6" s="1"/>
  <c r="M129" i="6"/>
  <c r="N129" i="6"/>
  <c r="O129" i="6"/>
  <c r="J99" i="6"/>
  <c r="G99" i="6"/>
  <c r="H99" i="6"/>
  <c r="L99" i="6"/>
  <c r="M99" i="6"/>
  <c r="F99" i="6"/>
  <c r="N99" i="6"/>
  <c r="O99" i="6"/>
  <c r="I175" i="6"/>
  <c r="I171" i="6"/>
  <c r="I110" i="6"/>
  <c r="O175" i="6"/>
  <c r="G175" i="6"/>
  <c r="K175" i="6" s="1"/>
  <c r="H175" i="6"/>
  <c r="N175" i="6"/>
  <c r="J175" i="6"/>
  <c r="M175" i="6"/>
  <c r="L175" i="6"/>
  <c r="J171" i="6"/>
  <c r="L171" i="6"/>
  <c r="G171" i="6"/>
  <c r="K171" i="6" s="1"/>
  <c r="O171" i="6"/>
  <c r="H171" i="6"/>
  <c r="M171" i="6"/>
  <c r="N171" i="6"/>
  <c r="I123" i="6"/>
  <c r="F95" i="6"/>
  <c r="K95" i="6" s="1"/>
  <c r="O95" i="6"/>
  <c r="H95" i="6"/>
  <c r="J95" i="6"/>
  <c r="L95" i="6"/>
  <c r="M95" i="6"/>
  <c r="N95" i="6"/>
  <c r="I129" i="6"/>
  <c r="M138" i="6"/>
  <c r="N138" i="6"/>
  <c r="O138" i="6"/>
  <c r="H138" i="6"/>
  <c r="J138" i="6"/>
  <c r="L138" i="6"/>
  <c r="I41" i="6"/>
  <c r="J33" i="6"/>
  <c r="O33" i="6"/>
  <c r="L33" i="6"/>
  <c r="M33" i="6"/>
  <c r="N33" i="6"/>
  <c r="G33" i="6"/>
  <c r="K33" i="6" s="1"/>
  <c r="H33" i="6"/>
  <c r="H19" i="6"/>
  <c r="N19" i="6"/>
  <c r="M19" i="6"/>
  <c r="O19" i="6"/>
  <c r="J19" i="6"/>
  <c r="L19" i="6"/>
  <c r="F19" i="6"/>
  <c r="G19" i="6"/>
  <c r="I87" i="6"/>
  <c r="M121" i="6"/>
  <c r="F121" i="6"/>
  <c r="G121" i="6"/>
  <c r="H121" i="6"/>
  <c r="H105" i="6"/>
  <c r="L105" i="6"/>
  <c r="M105" i="6"/>
  <c r="N105" i="6"/>
  <c r="O105" i="6"/>
  <c r="O44" i="6"/>
  <c r="G44" i="6"/>
  <c r="H44" i="6"/>
  <c r="L44" i="6"/>
  <c r="M44" i="6"/>
  <c r="N44" i="6"/>
  <c r="N163" i="6"/>
  <c r="O163" i="6"/>
  <c r="I60" i="6"/>
  <c r="M11" i="6"/>
  <c r="N11" i="6"/>
  <c r="F11" i="6"/>
  <c r="K11" i="6" s="1"/>
  <c r="L11" i="6"/>
  <c r="O11" i="6"/>
  <c r="H11" i="6"/>
  <c r="J11" i="6"/>
  <c r="O80" i="6"/>
  <c r="F80" i="6"/>
  <c r="K80" i="6" s="1"/>
  <c r="G80" i="6"/>
  <c r="L80" i="6"/>
  <c r="M80" i="6"/>
  <c r="N80" i="6"/>
  <c r="N24" i="6"/>
  <c r="G24" i="6"/>
  <c r="K24" i="6" s="1"/>
  <c r="O24" i="6"/>
  <c r="H24" i="6"/>
  <c r="J24" i="6"/>
  <c r="L24" i="6"/>
  <c r="M24" i="6"/>
  <c r="M173" i="6"/>
  <c r="N173" i="6"/>
  <c r="M163" i="6"/>
  <c r="L161" i="6"/>
  <c r="M161" i="6"/>
  <c r="N161" i="6"/>
  <c r="H158" i="6"/>
  <c r="J158" i="6"/>
  <c r="F155" i="6"/>
  <c r="G155" i="6"/>
  <c r="M150" i="6"/>
  <c r="N150" i="6"/>
  <c r="O150" i="6"/>
  <c r="J147" i="6"/>
  <c r="L147" i="6"/>
  <c r="G144" i="6"/>
  <c r="H144" i="6"/>
  <c r="M109" i="6"/>
  <c r="G109" i="6"/>
  <c r="H109" i="6"/>
  <c r="J109" i="6"/>
  <c r="J104" i="6"/>
  <c r="L104" i="6"/>
  <c r="M104" i="6"/>
  <c r="N104" i="6"/>
  <c r="N91" i="6"/>
  <c r="L91" i="6"/>
  <c r="M91" i="6"/>
  <c r="O91" i="6"/>
  <c r="M83" i="6"/>
  <c r="F83" i="6"/>
  <c r="K83" i="6" s="1"/>
  <c r="N83" i="6"/>
  <c r="O83" i="6"/>
  <c r="H83" i="6"/>
  <c r="J83" i="6"/>
  <c r="L83" i="6"/>
  <c r="H50" i="6"/>
  <c r="L50" i="6"/>
  <c r="M50" i="6"/>
  <c r="N50" i="6"/>
  <c r="O50" i="6"/>
  <c r="I32" i="6"/>
  <c r="H86" i="6"/>
  <c r="J86" i="6"/>
  <c r="L86" i="6"/>
  <c r="M86" i="6"/>
  <c r="N86" i="6"/>
  <c r="O86" i="6"/>
  <c r="I18" i="6"/>
  <c r="N139" i="6"/>
  <c r="O139" i="6"/>
  <c r="O168" i="6"/>
  <c r="N134" i="6"/>
  <c r="G134" i="6"/>
  <c r="H134" i="6"/>
  <c r="L124" i="6"/>
  <c r="M124" i="6"/>
  <c r="N124" i="6"/>
  <c r="O124" i="6"/>
  <c r="L89" i="6"/>
  <c r="F89" i="6"/>
  <c r="K89" i="6" s="1"/>
  <c r="G89" i="6"/>
  <c r="H89" i="6"/>
  <c r="H79" i="6"/>
  <c r="N79" i="6"/>
  <c r="F79" i="6"/>
  <c r="K79" i="6" s="1"/>
  <c r="G79" i="6"/>
  <c r="J79" i="6"/>
  <c r="G65" i="6"/>
  <c r="L65" i="6"/>
  <c r="M65" i="6"/>
  <c r="N65" i="6"/>
  <c r="O65" i="6"/>
  <c r="G53" i="6"/>
  <c r="L53" i="6"/>
  <c r="F53" i="6"/>
  <c r="K53" i="6" s="1"/>
  <c r="H53" i="6"/>
  <c r="N53" i="6"/>
  <c r="O53" i="6"/>
  <c r="M47" i="6"/>
  <c r="F47" i="6"/>
  <c r="K47" i="6" s="1"/>
  <c r="J47" i="6"/>
  <c r="L47" i="6"/>
  <c r="N47" i="6"/>
  <c r="O47" i="6"/>
  <c r="G41" i="6"/>
  <c r="K41" i="6" s="1"/>
  <c r="L41" i="6"/>
  <c r="J41" i="6"/>
  <c r="M41" i="6"/>
  <c r="N41" i="6"/>
  <c r="H41" i="6"/>
  <c r="O41" i="6"/>
  <c r="O123" i="6"/>
  <c r="J123" i="6"/>
  <c r="L123" i="6"/>
  <c r="M123" i="6"/>
  <c r="H74" i="6"/>
  <c r="O74" i="6"/>
  <c r="J74" i="6"/>
  <c r="L74" i="6"/>
  <c r="M74" i="6"/>
  <c r="N74" i="6"/>
  <c r="J160" i="6"/>
  <c r="L160" i="6"/>
  <c r="M160" i="6"/>
  <c r="L149" i="6"/>
  <c r="M149" i="6"/>
  <c r="N149" i="6"/>
  <c r="L172" i="6"/>
  <c r="M172" i="6"/>
  <c r="O68" i="6"/>
  <c r="L68" i="6"/>
  <c r="M68" i="6"/>
  <c r="N68" i="6"/>
  <c r="H67" i="6"/>
  <c r="N67" i="6"/>
  <c r="F67" i="6"/>
  <c r="G67" i="6"/>
  <c r="J67" i="6"/>
  <c r="L67" i="6"/>
  <c r="M67" i="6"/>
  <c r="O172" i="6"/>
  <c r="G128" i="6"/>
  <c r="H128" i="6"/>
  <c r="N172" i="6"/>
  <c r="N160" i="6"/>
  <c r="N143" i="6"/>
  <c r="N123" i="6"/>
  <c r="O121" i="6"/>
  <c r="O111" i="6"/>
  <c r="J111" i="6"/>
  <c r="L111" i="6"/>
  <c r="M111" i="6"/>
  <c r="N111" i="6"/>
  <c r="J105" i="6"/>
  <c r="G96" i="6"/>
  <c r="L96" i="6"/>
  <c r="M96" i="6"/>
  <c r="N96" i="6"/>
  <c r="O96" i="6"/>
  <c r="I94" i="6"/>
  <c r="N62" i="6"/>
  <c r="I49" i="6"/>
  <c r="H31" i="6"/>
  <c r="N31" i="6"/>
  <c r="J31" i="6"/>
  <c r="G17" i="6"/>
  <c r="L17" i="6"/>
  <c r="F17" i="6"/>
  <c r="K17" i="6" s="1"/>
  <c r="H17" i="6"/>
  <c r="N17" i="6"/>
  <c r="O17" i="6"/>
  <c r="H146" i="6"/>
  <c r="J146" i="6"/>
  <c r="F28" i="6"/>
  <c r="K28" i="6" s="1"/>
  <c r="J28" i="6"/>
  <c r="M28" i="6"/>
  <c r="N28" i="6"/>
  <c r="O28" i="6"/>
  <c r="L28" i="6"/>
  <c r="H116" i="6"/>
  <c r="J116" i="6"/>
  <c r="L116" i="6"/>
  <c r="I86" i="6"/>
  <c r="O160" i="6"/>
  <c r="O149" i="6"/>
  <c r="O143" i="6"/>
  <c r="N174" i="6"/>
  <c r="O174" i="6"/>
  <c r="J172" i="6"/>
  <c r="H123" i="6"/>
  <c r="N121" i="6"/>
  <c r="H117" i="6"/>
  <c r="J117" i="6"/>
  <c r="L117" i="6"/>
  <c r="M117" i="6"/>
  <c r="N117" i="6"/>
  <c r="G115" i="6"/>
  <c r="F115" i="6"/>
  <c r="K115" i="6" s="1"/>
  <c r="H115" i="6"/>
  <c r="F64" i="6"/>
  <c r="K64" i="6" s="1"/>
  <c r="J64" i="6"/>
  <c r="M64" i="6"/>
  <c r="N64" i="6"/>
  <c r="G64" i="6"/>
  <c r="H64" i="6"/>
  <c r="L64" i="6"/>
  <c r="M59" i="6"/>
  <c r="F59" i="6"/>
  <c r="K59" i="6" s="1"/>
  <c r="J59" i="6"/>
  <c r="L59" i="6"/>
  <c r="N110" i="6"/>
  <c r="H110" i="6"/>
  <c r="J110" i="6"/>
  <c r="L110" i="6"/>
  <c r="M110" i="6"/>
  <c r="F4" i="6"/>
  <c r="G4" i="6"/>
  <c r="H4" i="6"/>
  <c r="J4" i="6"/>
  <c r="M4" i="6"/>
  <c r="N4" i="6"/>
  <c r="O4" i="6"/>
  <c r="G168" i="6"/>
  <c r="K168" i="6" s="1"/>
  <c r="H168" i="6"/>
  <c r="F143" i="6"/>
  <c r="K143" i="6" s="1"/>
  <c r="G143" i="6"/>
  <c r="I116" i="6"/>
  <c r="H62" i="6"/>
  <c r="G62" i="6"/>
  <c r="O62" i="6"/>
  <c r="M118" i="6"/>
  <c r="N118" i="6"/>
  <c r="O118" i="6"/>
  <c r="N84" i="6"/>
  <c r="G84" i="6"/>
  <c r="K84" i="6" s="1"/>
  <c r="M84" i="6"/>
  <c r="O84" i="6"/>
  <c r="I73" i="6"/>
  <c r="H6" i="6"/>
  <c r="J6" i="6"/>
  <c r="M6" i="6"/>
  <c r="L6" i="6"/>
  <c r="N6" i="6"/>
  <c r="O6" i="6"/>
  <c r="J136" i="6"/>
  <c r="L136" i="6"/>
  <c r="M136" i="6"/>
  <c r="L130" i="6"/>
  <c r="M130" i="6"/>
  <c r="N130" i="6"/>
  <c r="I104" i="6"/>
  <c r="G77" i="6"/>
  <c r="L77" i="6"/>
  <c r="J77" i="6"/>
  <c r="H77" i="6"/>
  <c r="M77" i="6"/>
  <c r="N77" i="6"/>
  <c r="O77" i="6"/>
  <c r="N36" i="6"/>
  <c r="G36" i="6"/>
  <c r="K36" i="6" s="1"/>
  <c r="J36" i="6"/>
  <c r="L36" i="6"/>
  <c r="O36" i="6"/>
  <c r="L163" i="6"/>
  <c r="O157" i="6"/>
  <c r="O146" i="6"/>
  <c r="N122" i="6"/>
  <c r="H122" i="6"/>
  <c r="J122" i="6"/>
  <c r="J100" i="6"/>
  <c r="M100" i="6"/>
  <c r="L100" i="6"/>
  <c r="N100" i="6"/>
  <c r="O100" i="6"/>
  <c r="J163" i="6"/>
  <c r="N157" i="6"/>
  <c r="J149" i="6"/>
  <c r="N146" i="6"/>
  <c r="M168" i="6"/>
  <c r="M157" i="6"/>
  <c r="M146" i="6"/>
  <c r="M139" i="6"/>
  <c r="L137" i="6"/>
  <c r="M137" i="6"/>
  <c r="N137" i="6"/>
  <c r="O173" i="6"/>
  <c r="O169" i="6"/>
  <c r="L168" i="6"/>
  <c r="F167" i="6"/>
  <c r="G167" i="6"/>
  <c r="H163" i="6"/>
  <c r="M162" i="6"/>
  <c r="N162" i="6"/>
  <c r="O162" i="6"/>
  <c r="H160" i="6"/>
  <c r="J159" i="6"/>
  <c r="L159" i="6"/>
  <c r="L157" i="6"/>
  <c r="G156" i="6"/>
  <c r="H156" i="6"/>
  <c r="N151" i="6"/>
  <c r="O151" i="6"/>
  <c r="H149" i="6"/>
  <c r="J148" i="6"/>
  <c r="L148" i="6"/>
  <c r="M148" i="6"/>
  <c r="L146" i="6"/>
  <c r="L143" i="6"/>
  <c r="L139" i="6"/>
  <c r="O136" i="6"/>
  <c r="J131" i="6"/>
  <c r="N131" i="6"/>
  <c r="O131" i="6"/>
  <c r="L121" i="6"/>
  <c r="J118" i="6"/>
  <c r="O116" i="6"/>
  <c r="N103" i="6"/>
  <c r="F103" i="6"/>
  <c r="G103" i="6"/>
  <c r="H103" i="6"/>
  <c r="J103" i="6"/>
  <c r="L84" i="6"/>
  <c r="J68" i="6"/>
  <c r="L62" i="6"/>
  <c r="H55" i="6"/>
  <c r="N55" i="6"/>
  <c r="M55" i="6"/>
  <c r="O55" i="6"/>
  <c r="J55" i="6"/>
  <c r="L55" i="6"/>
  <c r="G142" i="6"/>
  <c r="H108" i="6"/>
  <c r="L101" i="6"/>
  <c r="O101" i="6"/>
  <c r="H93" i="6"/>
  <c r="F40" i="6"/>
  <c r="K40" i="6" s="1"/>
  <c r="J40" i="6"/>
  <c r="H40" i="6"/>
  <c r="I8" i="6"/>
  <c r="G166" i="6"/>
  <c r="G154" i="6"/>
  <c r="M78" i="6"/>
  <c r="N78" i="6"/>
  <c r="O78" i="6"/>
  <c r="L57" i="6"/>
  <c r="M49" i="6"/>
  <c r="M42" i="6"/>
  <c r="O42" i="6"/>
  <c r="H37" i="6"/>
  <c r="L35" i="6"/>
  <c r="H32" i="6"/>
  <c r="H29" i="6"/>
  <c r="M21" i="6"/>
  <c r="F133" i="6"/>
  <c r="K133" i="6" s="1"/>
  <c r="F127" i="6"/>
  <c r="K127" i="6" s="1"/>
  <c r="F120" i="6"/>
  <c r="K120" i="6" s="1"/>
  <c r="G114" i="6"/>
  <c r="F107" i="6"/>
  <c r="G102" i="6"/>
  <c r="G98" i="6"/>
  <c r="J88" i="6"/>
  <c r="N88" i="6"/>
  <c r="O88" i="6"/>
  <c r="J81" i="6"/>
  <c r="H81" i="6"/>
  <c r="H73" i="6"/>
  <c r="G69" i="6"/>
  <c r="H60" i="6"/>
  <c r="L49" i="6"/>
  <c r="J45" i="6"/>
  <c r="L45" i="6"/>
  <c r="M45" i="6"/>
  <c r="G37" i="6"/>
  <c r="K37" i="6" s="1"/>
  <c r="M23" i="6"/>
  <c r="F23" i="6"/>
  <c r="K23" i="6" s="1"/>
  <c r="J23" i="6"/>
  <c r="L23" i="6"/>
  <c r="N23" i="6"/>
  <c r="L21" i="6"/>
  <c r="J8" i="6"/>
  <c r="L8" i="6"/>
  <c r="M8" i="6"/>
  <c r="O8" i="6"/>
  <c r="H8" i="6"/>
  <c r="N8" i="6"/>
  <c r="G108" i="6"/>
  <c r="F102" i="6"/>
  <c r="K102" i="6" s="1"/>
  <c r="F98" i="6"/>
  <c r="K98" i="6" s="1"/>
  <c r="G93" i="6"/>
  <c r="O85" i="6"/>
  <c r="F85" i="6"/>
  <c r="K85" i="6" s="1"/>
  <c r="G85" i="6"/>
  <c r="F76" i="6"/>
  <c r="J76" i="6"/>
  <c r="G76" i="6"/>
  <c r="G73" i="6"/>
  <c r="K73" i="6" s="1"/>
  <c r="M54" i="6"/>
  <c r="J54" i="6"/>
  <c r="L54" i="6"/>
  <c r="G49" i="6"/>
  <c r="K49" i="6" s="1"/>
  <c r="G32" i="6"/>
  <c r="K32" i="6" s="1"/>
  <c r="H26" i="6"/>
  <c r="G26" i="6"/>
  <c r="M18" i="6"/>
  <c r="J18" i="6"/>
  <c r="L18" i="6"/>
  <c r="F108" i="6"/>
  <c r="K108" i="6" s="1"/>
  <c r="F93" i="6"/>
  <c r="J69" i="6"/>
  <c r="O69" i="6"/>
  <c r="O37" i="6"/>
  <c r="M37" i="6"/>
  <c r="N37" i="6"/>
  <c r="M35" i="6"/>
  <c r="F35" i="6"/>
  <c r="K35" i="6" s="1"/>
  <c r="G35" i="6"/>
  <c r="H35" i="6"/>
  <c r="G29" i="6"/>
  <c r="L29" i="6"/>
  <c r="O73" i="6"/>
  <c r="L73" i="6"/>
  <c r="M73" i="6"/>
  <c r="N60" i="6"/>
  <c r="G60" i="6"/>
  <c r="K60" i="6" s="1"/>
  <c r="O60" i="6"/>
  <c r="J57" i="6"/>
  <c r="F57" i="6"/>
  <c r="K57" i="6" s="1"/>
  <c r="G57" i="6"/>
  <c r="O49" i="6"/>
  <c r="H49" i="6"/>
  <c r="J49" i="6"/>
  <c r="O32" i="6"/>
  <c r="L32" i="6"/>
  <c r="M32" i="6"/>
  <c r="N32" i="6"/>
  <c r="J21" i="6"/>
  <c r="F21" i="6"/>
  <c r="G21" i="6"/>
  <c r="F52" i="6"/>
  <c r="K52" i="6" s="1"/>
  <c r="J52" i="6"/>
  <c r="F16" i="6"/>
  <c r="K16" i="6" s="1"/>
  <c r="J16" i="6"/>
  <c r="J13" i="6"/>
  <c r="F90" i="6"/>
  <c r="F66" i="6"/>
  <c r="K66" i="6" s="1"/>
  <c r="H43" i="6"/>
  <c r="N43" i="6"/>
  <c r="F30" i="6"/>
  <c r="K30" i="6" s="1"/>
  <c r="J9" i="6"/>
  <c r="L9" i="6"/>
  <c r="M9" i="6"/>
  <c r="N9" i="6"/>
  <c r="H7" i="6"/>
  <c r="J7" i="6"/>
  <c r="L7" i="6"/>
  <c r="N7" i="6"/>
  <c r="G5" i="6"/>
  <c r="H5" i="6"/>
  <c r="L5" i="6"/>
  <c r="M71" i="6"/>
  <c r="F71" i="6"/>
  <c r="K71" i="6" s="1"/>
  <c r="N48" i="6"/>
  <c r="G48" i="6"/>
  <c r="O13" i="6"/>
  <c r="F13" i="6"/>
  <c r="K13" i="6" s="1"/>
  <c r="G12" i="6"/>
  <c r="I3" i="6"/>
  <c r="O12" i="6"/>
  <c r="I141" i="6" l="1"/>
  <c r="K141" i="6"/>
  <c r="K103" i="6"/>
  <c r="K121" i="6"/>
  <c r="K21" i="6"/>
  <c r="K55" i="6"/>
  <c r="K132" i="6"/>
  <c r="K97" i="6"/>
  <c r="K31" i="6"/>
  <c r="K19" i="6"/>
  <c r="K134" i="6"/>
  <c r="K7" i="6"/>
  <c r="K166" i="6"/>
  <c r="K106" i="6"/>
  <c r="K167" i="6"/>
  <c r="K99" i="6"/>
  <c r="K65" i="6"/>
  <c r="K125" i="6"/>
  <c r="K140" i="6"/>
  <c r="K96" i="6"/>
  <c r="K177" i="6"/>
  <c r="K155" i="6"/>
  <c r="K4" i="6"/>
  <c r="K118" i="6"/>
  <c r="K144" i="6"/>
  <c r="I78" i="6"/>
  <c r="K78" i="6"/>
  <c r="K107" i="6"/>
  <c r="I109" i="6"/>
  <c r="K101" i="6"/>
  <c r="K142" i="6"/>
  <c r="K61" i="6"/>
  <c r="K22" i="6"/>
  <c r="K151" i="6"/>
  <c r="K67" i="6"/>
  <c r="K10" i="6"/>
  <c r="K90" i="6"/>
  <c r="K93" i="6"/>
  <c r="K76" i="6"/>
  <c r="K25" i="6"/>
  <c r="K154" i="6"/>
  <c r="K48" i="6"/>
  <c r="K26" i="6"/>
  <c r="K34" i="6"/>
  <c r="K158" i="6"/>
  <c r="K172" i="6"/>
  <c r="K145" i="6"/>
  <c r="K100" i="6"/>
  <c r="K69" i="6"/>
  <c r="K114" i="6"/>
  <c r="K156" i="6"/>
  <c r="K75" i="6"/>
  <c r="K62" i="6"/>
  <c r="K46" i="6"/>
  <c r="I46" i="6"/>
  <c r="I54" i="6"/>
  <c r="I157" i="6"/>
  <c r="I152" i="6"/>
  <c r="I145" i="6"/>
  <c r="I12" i="6"/>
  <c r="I44" i="6"/>
  <c r="I165" i="6"/>
  <c r="I27" i="6"/>
  <c r="I172" i="6"/>
  <c r="I158" i="6"/>
  <c r="I125" i="6"/>
  <c r="I159" i="6"/>
  <c r="I137" i="6"/>
  <c r="I139" i="6"/>
  <c r="I26" i="6"/>
  <c r="I96" i="6"/>
  <c r="I43" i="6"/>
  <c r="I114" i="6"/>
  <c r="I176" i="6"/>
  <c r="I20" i="6"/>
  <c r="I124" i="6"/>
  <c r="I51" i="6"/>
  <c r="I100" i="6"/>
  <c r="I81" i="6"/>
  <c r="I134" i="6"/>
  <c r="I7" i="6"/>
  <c r="I68" i="6"/>
  <c r="I132" i="6"/>
  <c r="I154" i="6"/>
  <c r="I118" i="6"/>
  <c r="I75" i="6"/>
  <c r="I70" i="6"/>
  <c r="I65" i="6"/>
  <c r="I166" i="6"/>
  <c r="I106" i="6"/>
  <c r="I156" i="6"/>
  <c r="I97" i="6"/>
  <c r="I111" i="6"/>
  <c r="I6" i="6"/>
  <c r="I5" i="6"/>
  <c r="I131" i="6"/>
  <c r="I48" i="6"/>
  <c r="I61" i="6"/>
  <c r="I177" i="6"/>
  <c r="I22" i="6"/>
  <c r="I62" i="6"/>
  <c r="I101" i="6"/>
  <c r="I69" i="6"/>
  <c r="I144" i="6"/>
  <c r="I39" i="6"/>
  <c r="I128" i="6"/>
  <c r="I42" i="6"/>
  <c r="I163" i="6"/>
  <c r="I31" i="6"/>
  <c r="I25" i="6"/>
  <c r="I142" i="6"/>
  <c r="I161" i="6"/>
  <c r="I38" i="6"/>
  <c r="I58" i="6"/>
  <c r="I74" i="6"/>
  <c r="I153" i="6"/>
  <c r="I122" i="6"/>
  <c r="I130" i="6"/>
  <c r="I2" i="6"/>
  <c r="I148" i="6"/>
  <c r="I10" i="6"/>
  <c r="I112" i="6"/>
  <c r="I63" i="6"/>
  <c r="I55" i="6"/>
  <c r="I169" i="6"/>
  <c r="I34" i="6"/>
  <c r="I162" i="6"/>
  <c r="I136" i="6"/>
  <c r="I117" i="6"/>
  <c r="I82" i="6"/>
  <c r="I13" i="6"/>
  <c r="I115" i="6"/>
  <c r="I17" i="6"/>
  <c r="I67" i="6"/>
  <c r="I16" i="6"/>
  <c r="I103" i="6"/>
  <c r="I80" i="6"/>
  <c r="I99" i="6"/>
  <c r="I30" i="6"/>
  <c r="I76" i="6"/>
  <c r="I93" i="6"/>
  <c r="I89" i="6"/>
  <c r="I108" i="6"/>
  <c r="I4" i="6"/>
  <c r="I155" i="6"/>
  <c r="I57" i="6"/>
  <c r="I59" i="6"/>
  <c r="I19" i="6"/>
  <c r="I71" i="6"/>
  <c r="I107" i="6"/>
  <c r="I47" i="6"/>
  <c r="I35" i="6"/>
  <c r="I83" i="6"/>
  <c r="I120" i="6"/>
  <c r="I21" i="6"/>
  <c r="I79" i="6"/>
  <c r="I72" i="6"/>
  <c r="I143" i="6"/>
  <c r="I127" i="6"/>
  <c r="I133" i="6"/>
  <c r="I95" i="6"/>
  <c r="I90" i="6"/>
  <c r="I98" i="6"/>
  <c r="I64" i="6"/>
  <c r="I52" i="6"/>
  <c r="I40" i="6"/>
  <c r="I28" i="6"/>
  <c r="I121" i="6"/>
  <c r="I85" i="6"/>
  <c r="I167" i="6"/>
  <c r="I66" i="6"/>
  <c r="I11" i="6"/>
  <c r="I53" i="6"/>
  <c r="I102" i="6"/>
  <c r="I23" i="6"/>
</calcChain>
</file>

<file path=xl/sharedStrings.xml><?xml version="1.0" encoding="utf-8"?>
<sst xmlns="http://schemas.openxmlformats.org/spreadsheetml/2006/main" count="3629" uniqueCount="545">
  <si>
    <t>Evaluator</t>
  </si>
  <si>
    <t>Question</t>
  </si>
  <si>
    <t>status</t>
  </si>
  <si>
    <t>response_time</t>
  </si>
  <si>
    <t>answerability</t>
  </si>
  <si>
    <t>primary_kc_alignment</t>
  </si>
  <si>
    <t>secondary_kc_alignment</t>
  </si>
  <si>
    <t>synergy</t>
  </si>
  <si>
    <t>topic_alignment</t>
  </si>
  <si>
    <t>grade_alignment</t>
  </si>
  <si>
    <t>real_world_feasibility</t>
  </si>
  <si>
    <t>clarity</t>
  </si>
  <si>
    <t>conciseness_and_relevance</t>
  </si>
  <si>
    <t>language_quality</t>
  </si>
  <si>
    <t>content_appropriateness</t>
  </si>
  <si>
    <t>explanation</t>
  </si>
  <si>
    <t>TD</t>
  </si>
  <si>
    <t>Question 1</t>
  </si>
  <si>
    <t>Grade alignment issue: Problem requires 4-digit addition (1245+876, 987+1298, 1156+945) but Primary 3 students typically work with 3-digit numbers. 4-digit addition is usually taught in Primary 4.</t>
  </si>
  <si>
    <t>Question 2</t>
  </si>
  <si>
    <t>Question 3</t>
  </si>
  <si>
    <t>Question 4</t>
  </si>
  <si>
    <t>'NA</t>
  </si>
  <si>
    <t>Primary KC alignment: The problem requires multiplying 3-digit numbers (126, 148, 235) by 1-digit numbers (4, 3, 2), but the intended primary KC is specifically for multiplying whole numbers UP TO 3 digits by 1 digit, which typically means the multiplicand should be at most 3 digits. However, 126x4=504, 148x3=444, and 235x2=470 are all manageable calculations, but 235 is a 3-digit number that when multiplied results in complexity beyond typical Primary 3 expectations. Grade alignment: This problem involves 3-digit by 1-digit multiplication with numbers like 235x2, 148x3, and 126x4, which produces results in the hundreds. This level of multiplication complexity is typically introduced in Primary 4, not Primary 3 where students usually work with simpler 2-digit by 1-digit or very basic 3-digit by 1-digit multiplication.</t>
  </si>
  <si>
    <t>Question 5</t>
  </si>
  <si>
    <t>Question 6</t>
  </si>
  <si>
    <t>Question 7</t>
  </si>
  <si>
    <t>Question 8</t>
  </si>
  <si>
    <t>Question 9</t>
  </si>
  <si>
    <t>Question 10</t>
  </si>
  <si>
    <t>Question 11</t>
  </si>
  <si>
    <t>Answerability: Questions (a) and (b) ask for totals but only provide single fractions - Sarah has 2/3 painting and 1/4 music, no second fractions to add. Primary KC Alignment: Problem does not require adding unlike fractions since each person has only one fraction per challenge type. Synergy: Primary and secondary knowledge components cannot work together effectively when primary component is not properly implemented.</t>
  </si>
  <si>
    <t>Question 12</t>
  </si>
  <si>
    <t>Question 13</t>
  </si>
  <si>
    <t>Primary KC alignment: Problem requires adding decimals up to 3 decimal places (1.142) but intended component specifies up to 2 decimal places only. Grade alignment: The use of 3 decimal places (1.142) may be too advanced for Primary 4 students who typically work with simpler decimal operations.</t>
  </si>
  <si>
    <t>Question 14</t>
  </si>
  <si>
    <t>Question 15</t>
  </si>
  <si>
    <t>Grade alignment issue: The problem uses 2.486 km which has 3 decimal places (thousandths). Primary 4 students typically work with decimals up to 2 decimal places only. Working with 3 decimal places is usually introduced in Primary 5, making this problem too advanced for the intended grade level.</t>
  </si>
  <si>
    <t>Question 16</t>
  </si>
  <si>
    <t>Question 17</t>
  </si>
  <si>
    <t>Question 18</t>
  </si>
  <si>
    <t>Question 19</t>
  </si>
  <si>
    <t>Answerability: The question 'total distance per lap over two days' is ambiguous and mathematically unclear. Primary KC Alignment: 5.24 / 3 = 1.7466... which exceeds 2 decimal places, violating the intended scope. Grade Alignment: Non-terminating decimals and ambiguous phrasing too complex for Primary 4. Real-world feasibility: Same pool having different lap distances on different days is unrealistic. Clarity: Final question phrasing is confusing and ambiguous.</t>
  </si>
  <si>
    <t>Question 20</t>
  </si>
  <si>
    <t>Question 21</t>
  </si>
  <si>
    <t>Question 22</t>
  </si>
  <si>
    <t>Question 23</t>
  </si>
  <si>
    <t>Question 24</t>
  </si>
  <si>
    <t>Question 25</t>
  </si>
  <si>
    <t>Question 26</t>
  </si>
  <si>
    <t>Primary KC alignment: The problem only requires adding fractions (7/4 + 5/3, 9/5 + 8/7, and adding the sums). No multiplication of improper fractions is needed. Synergy: Cannot achieve synergy between primary and secondary KC when the primary KC (multiplying improper fractions) is not present in the problem.</t>
  </si>
  <si>
    <t>Question 27</t>
  </si>
  <si>
    <t>Primary KC alignment: The problem requires division of fractions (finding planned time when actual time is 2/3 of planned), not multiplication of two improper fractions. The main operation is (7/4 + 5/3 - 3/2) ÷ (2/3) which involves division as the primary operation. Synergy: The Primary KC (multiplication of improper fractions) and Secondary KC (subtraction of fractions) are not used in tandem. The problem primarily uses addition and subtraction of fractions, then division, but not multiplication of two improper fractions as required by the Primary KC.</t>
  </si>
  <si>
    <t>Question 28</t>
  </si>
  <si>
    <t>Question 29</t>
  </si>
  <si>
    <t>Secondary Knowledge Component misalignment: The problem requires subtracting whole numbers (22 - 19 = 3) rather than subtracting fractions as specified in the intended Secondary Knowledge Component.</t>
  </si>
  <si>
    <t>Question 30</t>
  </si>
  <si>
    <t>Primary KC alignment: Problem requires 0.875 * 300 which is general decimal multiplication, not specifically multiplying by 10, 100, 1000 or their multiples as intended. Synergy: Since intended primary KC is not actually used, there is no synergistic relationship between the intended primary and secondary knowledge components.</t>
  </si>
  <si>
    <t>Question 31</t>
  </si>
  <si>
    <t>Primary KC alignment: The problem requires 0.125 * 400 which is decimal multiplication by a whole number, not specifically multiplying decimals by 10, 100, 1000 or their multiples as intended. Synergy: The two parts can be solved independently - the first part calculates distance (0.125 * 400 = 50), the second part subtracts (65.8 - 50 = 15.8). The primary and secondary knowledge components are not used in tandem as the multiplication result is not essential for the subtraction part.</t>
  </si>
  <si>
    <t>Question 32</t>
  </si>
  <si>
    <t>Primary KC alignment fails because the problem requires dividing by 7, but the intended primary KC is dividing decimals by 10, 100, 1000 and their multiples. Since 7 is not a multiple of 10, 100, or 1000, this creates a fundamental misalignment with the intended knowledge component.</t>
  </si>
  <si>
    <t>Question 33</t>
  </si>
  <si>
    <t>Answerability: The problem contains illogical information - if Sarah swam 40000 meters total and the coach divides total time by 400, this does not give average time per 100 meters as stated. The calculation 40000/400=100, so dividing by 400 would give time per 100-meter segments, but the setup is mathematically inconsistent. Primary KC Alignment: The division required is by 400, not by 10, 100, 1000 or their multiples as specified in the intended knowledge component. 400 is not a multiple of 10, 100, or 1000 in the standard sense for this curriculum topic. Real-world Feasibility: Swimming 40000 meters (40 km) in 4 laps is unrealistic - this would mean each lap is 10 km, which is not feasible for a typical swimming practice session. Conciseness and Relevance: The 40000 meters information appears unnecessary and creates confusion since the actual calculation can be done by adding the times and dividing by 400 directly.</t>
  </si>
  <si>
    <t>Question 34</t>
  </si>
  <si>
    <t>Secondary KC alignment: Problem requires division (90/120) and multiplication by 100, not multiplication of whole numbers as intended. Synergy: No synergy exists since the intended secondary KC (whole number multiplication) is not actually needed to solve the problem.</t>
  </si>
  <si>
    <t>Question 35</t>
  </si>
  <si>
    <t>Question 36</t>
  </si>
  <si>
    <t>Real-world feasibility: 1.25 km/h is unrealistically slow for marathon training - this is slower than normal walking speed of 4-5 km/h and would not represent realistic training pace.</t>
  </si>
  <si>
    <t>Question 37</t>
  </si>
  <si>
    <t>Question 38</t>
  </si>
  <si>
    <t>Question 39</t>
  </si>
  <si>
    <t>Real-world plausibility: The phrase 2/3 of the week refers to 4.67 days, which is not how people typically plan practice schedules in reality. Practice schedules are usually planned in whole days or specific days of the week.</t>
  </si>
  <si>
    <t>Question 40</t>
  </si>
  <si>
    <t>The problem lacks critical information needed to solve it. We know Sarah completed 3/4 of her total practice time and each session is 2/5 hour, but we don't know her total practice time for today. Without knowing the total time (e.g., 2 hours total practice time), we cannot determine how much actual time 3/4 represents, and therefore cannot calculate how many 2/5 hour sessions fit into that time.</t>
  </si>
  <si>
    <t>Question 41</t>
  </si>
  <si>
    <t>Synergy: The two knowledge components are used sequentially rather than in tandem - percentage calculation is completed first (72 / 0.6 = 120), then simple addition follows (120 + 45 = 165), without meaningful interdependence. Real-World Plausibility: A coach instructing a player to attempt exactly 45 more shots while maintaining precisely 60% success rate is unrealistic - success rates naturally vary and coaches do not typically give such mathematically precise instructions.</t>
  </si>
  <si>
    <t>Question 42</t>
  </si>
  <si>
    <t>Secondary KC alignment: The problem can be solved using only 180 and 216 without requiring division of whole numbers. Synergy: Since division is not needed, there is no synergy between primary and secondary KCs. Conciseness: The attempt numbers 300 and 360 are irrelevant to solving the percentage increase problem.</t>
  </si>
  <si>
    <t>Question 43</t>
  </si>
  <si>
    <t>Secondary KC Alignment: The problem only requires finding the ratio 45:36:54 and simplifying it to 5:4:6. No addition of whole numbers is needed to solve this problem. The three point values are directly given and used as-is for the ratio calculation. Synergy: Since the secondary knowledge component (addition of whole numbers) is not required to solve the problem, there is no synergy between the primary and secondary knowledge components. The problem can be solved using only ratio concepts without any addition operations.</t>
  </si>
  <si>
    <t>Question 44</t>
  </si>
  <si>
    <t>Grade alignment: This problem requires algebraic thinking with variables and linear equations which is too advanced for Primary 6 students. Primary 6 mathematics typically involves arithmetic word problems with concrete numbers, not abstract algebraic expressions with variables like x.</t>
  </si>
  <si>
    <t>Question 45</t>
  </si>
  <si>
    <t>Grade alignment: This problem requires only basic percentage calculations (25% and 15% of whole numbers) and simple subtraction, which are typically mastered in primary/lower secondary levels. For Secondary O-level 1 students, this problem would be too elementary and does not challenge students at the appropriate academic level expected for that grade.</t>
  </si>
  <si>
    <t>Question 46</t>
  </si>
  <si>
    <t>Grade alignment fails because percentage concepts and reverse percentages are typically taught in Primary 5-6 in Singapore curriculum, making this problem too basic for Secondary O-level 1 students.</t>
  </si>
  <si>
    <t>Question 47</t>
  </si>
  <si>
    <t>Grade Alignment: The problem difficulty level is too elementary for Secondary O-level 2 students. Ratio problems of this type are typically taught at Primary 6 level in Singapore math curriculum, making it inappropriate for O-level students who should be working with more advanced mathematical concepts.</t>
  </si>
  <si>
    <t>Question 48</t>
  </si>
  <si>
    <t>Question 49</t>
  </si>
  <si>
    <t>Grade Alignment: Standard deviation calculation is typically introduced at Secondary 4/5 or higher levels in Singapore math curriculum, not at Primary levels. The problem requires knowledge of variance, square roots, and complex statistical concepts that exceed Primary grade mathematical capabilities.</t>
  </si>
  <si>
    <t>Minh</t>
  </si>
  <si>
    <t>Secondary KC alignment: The problem does not require adding whole numbers - the total is given as 847. Synergy: No meaningful connection between primary and secondary KCs since addition is not needed to solve the problem.</t>
  </si>
  <si>
    <t>Secondary KC Alignment: The problem requires division operations (432/6=72, then 72/4=18) but the intended secondary knowledge component is multiplication of whole numbers, which is not needed to solve either question. Synergy: Since multiplication is not actually required to solve the problem, the primary KC (division) and intended secondary KC (multiplication) are not used in tandem as required.</t>
  </si>
  <si>
    <t>Answerability: The second question asks how much longer Wednesday practice was compared to Monday+Tuesday combined, but Wednesday (5/12 hour) is actually shorter than the combined time (5/8 hour), making the question illogical. Primary KC Alignment: While subtraction is present, the problem structure emphasizes addition more prominently (first question is purely addition, subtraction only appears in second question), which conflicts with subtraction being the primary knowledge component.</t>
  </si>
  <si>
    <t>The number 12 (pieces per pack) is provided but not necessary for solving the problem, as only the cost per pack and number of packs are needed for the calculation.</t>
  </si>
  <si>
    <t>Real-world feasibility: The numbers of students are unrealistic for a single school to bring to a badminton tournament. 2,856, 1,944, and 3,528 students per school would require massive venues and logistics that do not reflect typical inter-school sports events where schools usually bring much smaller groups of participants and supporters.</t>
  </si>
  <si>
    <t>Secondary KC alignment: The problem asks to express answer as mixed number, but the intended secondary KC is converting decimals to fractions, not mixed numbers. The calculation 2.75 + 1.8 + 3.25 = 7.8 km results in 7.8, which when converted to mixed number becomes 7 4/5, but this requires fraction conversion skills beyond the stated secondary KC. Synergy: Since the secondary KC is not properly aligned, there is no true synergy between primary and secondary KCs. The decimal addition (primary KC) can be completed independently without requiring the intended secondary KC of decimal to fraction conversion.</t>
  </si>
  <si>
    <t>Primary KC alignment: Problem includes 3.126 km which has 3 decimal places, exceeding the intended scope of up to 2 decimal places. Grade alignment: Using 3 decimal places is typically above Primary 4 level where students usually work with decimals up to 2 decimal places.</t>
  </si>
  <si>
    <t>Secondary KC Alignment: The problem gives the remaining amount directly as 8.91, so decimal subtraction is not needed to solve it. Synergy: Since secondary KC is not required, the two knowledge components do not work together. Conciseness and Relevance: The purchase prices 12.48 and 2.76 are unnecessary information since the remaining amount 8.91 is provided directly.</t>
  </si>
  <si>
    <t>Primary KC alignment fails because the problem requires multiplying 23.456 x 30, which is multiplying a decimal by a non-multiple of 10, 100, or 1000. The intended primary KC specifically states multiplying decimals by 10, 100, 1000 and their multiples only. 30 is not a multiple of 10, 100, or 1000.</t>
  </si>
  <si>
    <t>Primary KC alignment fails because the problem requires dividing 142.8 by 60, but the intended primary KC is about dividing decimals by 10, 100, 1000 and their multiples. 60 is not a multiple of 10, 100, or 1000 (60 = 2^2 * 3 * 5, while multiples of powers of 10 only contain factors of 2 and 5 in specific ratios).</t>
  </si>
  <si>
    <t>Secondary KC alignment: Problem requires converting from larger unit (km) to smaller unit (m), but intended secondary KC is converting from smaller to larger unit. Real-world feasibility: Running pace of 1.25 km/min equals 75 km/h which is unrealistically fast for human marathon training.</t>
  </si>
  <si>
    <t>Secondary Knowledge Component not addressed: The problem does not involve converting measurements from larger units in decimal form to smaller units. All values (0.8 laps/minute, 21.6 minutes, resulting laps) remain in their original units with no conversion required. Synergy absent: Since the secondary knowledge component is not present in the problem, there is no synergy between the intended primary and secondary knowledge components.</t>
  </si>
  <si>
    <t>Real-world feasibility: Tuesday calculation gives 8.25 sessions. Having 0.25 or quarter of a practice session is unrealistic - practice sessions cannot be fractional in real life.</t>
  </si>
  <si>
    <t>Secondary KC alignment: The problem requires dividing 3/4 by 1/8 which equals 6, a whole number. Since 6 is already in its simplest form, no fraction simplification is needed or demonstrated. Synergy: Since the secondary knowledge component (simplifying fractions) is not actually required to solve the problem, the two knowledge components do not work in tandem as intended.</t>
  </si>
  <si>
    <t>ANSWERABILITY: The problem asks for percentage decrease but accuracy remained constant at 70% both months (84/120 = 105/150 = 0.7). There is no decrease to calculate, making the question as stated unanswerable. PRIMARY_KC_ALIGNMENT: Since both months show 70% accuracy, there is no percentage increase or decrease occurring. The primary knowledge component of finding percentage change cannot be meaningfully applied when the values are identical. SYNERGY: With no actual percentage change occurring (0% change), the primary and secondary knowledge components do not work together as intended to solve a meaningful problem.</t>
  </si>
  <si>
    <t>Synergy: The two questions can be solved independently. Question 1 requires multiplication (45*3, 63*3) then subtraction. Question 2 only needs the original free throw numbers (45, 63) for percentage calculation. The result from Question 1 is not needed to solve Question 2, so the knowledge components are not used in tandem.</t>
  </si>
  <si>
    <t>Grade Alignment: The problem requires algebraic expressions with variables (a, b) and substitution evaluation, which are typically introduced in Secondary 1-2 mathematics curriculum, not Primary 6. Primary 6 students work with concrete numbers and basic equations, not abstract algebraic expressions with multiple variables.</t>
  </si>
  <si>
    <t>Grade Alignment: The problem requires complex fraction subtraction (3/4 - 1/6 and 5/6 - 1/4) and ratio concepts involving fractions, which are too advanced for Secondary O-level 1 students. These topics are typically covered in higher grade levels.</t>
  </si>
  <si>
    <t>Grade alignment fails because this problem is too elementary for Secondary O-level 1 students. The fraction operations (3/4 * 7, 1/2 * 7, simple ratio 21/4 : 7/2, and dividing 21/4 by 3) are concepts typically mastered in primary grades 4-6. Secondary O-level 1 students would be expected to handle more complex ratio problems involving algebraic manipulation, proportion solving, or multi-step applications rather than basic fraction arithmetic.</t>
  </si>
  <si>
    <t>Primary KC: Problem focuses more on complex GCD calculation (97, 66, 129) than decimal ratio concepts. Grade Alignment: Finding GCD of 97, 66, 129 requires advanced factorization beyond Secondary O-level 1.</t>
  </si>
  <si>
    <t>Grade alignment: The problem involves basic percentage calculations (24/40 = 60%, 18/30 = 60%) and simple decimal conversion (60% = 0.6) which are too elementary for Secondary O-level 1 students who should be working with more advanced mathematical concepts.</t>
  </si>
  <si>
    <t>Grade alignment: The problem only requires basic arithmetic operations (480/12, 25% calculation, multiplication) that are typically mastered in upper primary grades (P5-P6). For Secondary O-level 1 students, this problem would be too elementary and does not match the expected difficulty level for that grade.</t>
  </si>
  <si>
    <t>Question 50</t>
  </si>
  <si>
    <t>Answerability: Problem contains contradictory information - Sarah swims at constant speed d/36 per minute based on given data, but needs speed d/30 per minute to finish in 30 minutes, making problem unsolvable. Primary KC Alignment: Problem does not require solving fractional equations reducible to linear equations - solution involves direct proportion calculations, not equation solving. Synergy: Since primary KC is not needed, primary and secondary KCs cannot work in tandem. Grade Alignment: Problem complexity with proportional reasoning and fraction manipulation is below Secondary O-level 1 standard. Real-World Feasibility: Scenario is illogical - swimmer cannot maintain constant speed while also adjusting pace to meet different time target.</t>
  </si>
  <si>
    <t>Question 51</t>
  </si>
  <si>
    <t>Grade alignment: Inverse proportion concepts requiring algebraic manipulation (k/x relationships) are typically taught at Secondary 3-4 level, above Secondary O-level 2. Real-world feasibility: The rigid mathematical relationship between time remaining and practice hours does not reflect realistic practice scheduling which involves multiple practical constraints. Clarity: The phrase 'maintain the same total practice time' is ambiguous - unclear if referring to rate of 60 hours or overall preparation time. The timing of when to 'start this intensive practice schedule' is also unclear.</t>
  </si>
  <si>
    <t>Question 52</t>
  </si>
  <si>
    <t>Grade Alignment: The problem involves inverse proportion concepts which are typically introduced at higher secondary levels, but Secondary O-level 2 students may not have sufficient exposure to inverse proportion as a formal mathematical concept. The Singapore math syllabus typically introduces inverse proportion in later secondary years, making this problem potentially too advanced for O-level 2 students.</t>
  </si>
  <si>
    <t>Question 53</t>
  </si>
  <si>
    <t>Question 54</t>
  </si>
  <si>
    <t>Grade Alignment: The problem focuses on basic median and mode calculations which are typically taught in lower secondary grades (7-9). Secondary O-level 2 students would be expected to work with more advanced statistical concepts like standard deviation, probability distributions, or statistical inference.</t>
  </si>
  <si>
    <t>Question 55</t>
  </si>
  <si>
    <t>Synergy: The median and percentile calculations work independently on the same dataset without requiring results from one to solve the other. Grade Alignment: Secondary O-level 2 is not a standard grade designation in Singapore education system.</t>
  </si>
  <si>
    <t>Question 56</t>
  </si>
  <si>
    <t>CLARITY: There is ambiguity in round 2 - unclear if score is multiplied by the numerical value 3^6 = 729 or if the exponent operation 3^6 is applied to the existing score. CONCISENESS: The initial base score of 3 points is irrelevant since it gets replaced by 3^4 in round 1, making it unnecessary information.</t>
  </si>
  <si>
    <t>Question 57</t>
  </si>
  <si>
    <t>Answerability: The relationship between x and distance is ambiguous - it's unclear whether x = 2 when distance = 4 meters or if x represents the actual distance. Clarity: The pattern I_0 * 2^(-2x) is introduced but the connection between x and the 4-meter distance is not clearly defined, making part (a) asking for x value confusing.</t>
  </si>
  <si>
    <t>Question 58</t>
  </si>
  <si>
    <t>Question 59</t>
  </si>
  <si>
    <t>Grade alignment: Matrix operations are typically taught at A-level or higher, not O-level 3/4. Real-world feasibility: The scenario of applying uniform penalty matrices followed by scalar multiplication does not reflect realistic sports scoring systems.</t>
  </si>
  <si>
    <t>Question 60</t>
  </si>
  <si>
    <t>Grade Alignment: This problem requires matrix operations including scalar multiplication and matrix multiplication, which are typically taught at higher secondary levels or pre-university mathematics, not at O-level 3/4 where students are around 15-16 years old. The Singapore O-level curriculum does not include matrix operations as a standard topic.</t>
  </si>
  <si>
    <t>Question 61</t>
  </si>
  <si>
    <t>Grade Alignment: Matrix operations are typically taught at A-level or university level, not O-level 3/4. Real-World Feasibility: Gaming tournaments do not typically use matrix multiplication to calculate weighted scores - simpler arithmetic methods would be used in practice. Clarity: The problem lacks clear explanation of what the matrix dimensions represent (rows vs columns for rounds vs game categories), and the connection between the 3x3 data matrices and 3x2 scoring matrix is not clearly explained.</t>
  </si>
  <si>
    <t>Question 62</t>
  </si>
  <si>
    <t>Question 63</t>
  </si>
  <si>
    <t>Grade Alignment: The problem is intended for Secondary O-level 3/4 but involves concepts like multiplication of probabilities and conditional probability that are typically introduced at Primary 5-6 level in Singapore math syllabus. The problem is too simple for Secondary O-level students who would be expected to handle more complex probability scenarios involving permutations, combinations, or more advanced statistical concepts.</t>
  </si>
  <si>
    <t>Sarah</t>
  </si>
  <si>
    <t>Answerability: The problem contains illogical information - 125 players per team is unrealistic for basketball teams which typically have 5-15 players. This creates conflicting information about what constitutes a basketball team. Grade_alignment: The multiplication 8 x 125 = 1000 requires multiplying a 3-digit number by 1-digit, but 125 is too large and complex for Primary 3 students who typically work with smaller 3-digit numbers like those under 500. Real_world_feasibility: Basketball teams do not have 125 players - this number is completely unrealistic for basketball which is played with 5 players per team on court and typically 10-15 total players per team including substitutes.</t>
  </si>
  <si>
    <t>Secondary KC Alignment: The problem asks to subtract 5/6 - 1/6 = 4/6, but 4/6 can be simplified to 2/3. However, the answer 4/6 is already in a form that students would naturally arrive at, and the instruction to express in simplest form feels forced rather than naturally integrated into the problem solving process. Synergy: The two knowledge components do not work in tandem effectively. The subtraction is straightforward (5/6 - 1/6 = 4/6) and the simplification (4/6 = 2/3) is a separate step rather than being naturally integrated. The secondary KC feels like an add-on instruction rather than being essential to solving the core problem.</t>
  </si>
  <si>
    <t>Primary KC alignment: Problem only requires subtraction (2340 - 156), not multiplication as intended. Synergy: No synergy since primary KC multiplication is not used in solution. Conciseness: Information about 24 balls per box is irrelevant to solving the question asked.</t>
  </si>
  <si>
    <t>Secondary KC misalignment: Problem requires multiplication (406 * 3 = 1218) not addition as specified in secondary KC.</t>
  </si>
  <si>
    <t>The two questions are independent - the first question asks for 3/4 - 1/3 and the second asks for 3/4 + 1/3 + 5/6. The result from question 1 is not used to solve question 2, so the primary and secondary knowledge components are not used in tandem as required for full synergy.</t>
  </si>
  <si>
    <t>Primary KC alignment: The problem uses 3 decimal places (25.847, 25.903, 26.120) but Primary KC is limited to 2 decimal places. Grade alignment: Primary 4 students typically work with decimals up to 2 decimal places, but this problem requires 3 decimal places which is beyond Primary 4 level.</t>
  </si>
  <si>
    <t>Real-world feasibility: The concept that a swimmer completes 3/4 of a lap in each stroke cycle is unrealistic. In actual swimming, stroke cycles refer to individual arm movements or breathing patterns, and swimmers do not measure distance covered per stroke cycle in terms of lap fractions. A typical stroke cycle covers only a few meters, not three-quarters of an entire lap which could be 37.5 meters in a 50-meter pool.</t>
  </si>
  <si>
    <t>Answerability: The concept of using 5/3 or 4/3 of energy level is illogical - one cannot use more than 100% of their energy level in reality. Real-world feasibility: Using more than 100% of energy level (133% and 133%) is not realistic or possible. Clarity: The term 'energy-hours' is not clearly defined and may confuse students as it combines energy with time in an unclear manner.</t>
  </si>
  <si>
    <t>Answerability: The problem contains conflicting and illogical information. Tuesday states she swam 100 times faster but then multiplies 0.875 x 100 = 87.5 seconds, which is actually 100 times slower since larger time means slower speed. Same logical error occurs for Wednesday and Thursday. Real-world feasibility: Swimming lap times of 0.875 seconds (less than 1 second per lap) and 875 seconds (nearly 15 minutes per lap) are completely unrealistic for any swimming competition or training. Clarity: The language is ambiguous and contradictory - stating she swam faster but calculating longer times, which creates confusion about whether the multipliers represent speed increases or time increases.</t>
  </si>
  <si>
    <t>Primary KC Alignment: The problem requires multiplying decimals by whole numbers (0.025 x 20, 0.018 x 30, 0.022 x 40) and converting km to meters (multiplying by 1000), but the intended primary KC is specifically about multiplying decimals by 10, 100, 1000 and their multiples. The main difficulty comes from decimal multiplication by arbitrary whole numbers, not by powers of 10. Synergy: While both decimal multiplication and addition are needed, they are used sequentially rather than in tandem. The multiplication step and addition step are separate operations that do not require integrated use of both knowledge components simultaneously.</t>
  </si>
  <si>
    <t>Answerability: The times given (23.450, 234.50, 2345.0) cannot be obtained by dividing the same number by different powers of 10. For example, if 23450 is the original number, then 23450/1000=23.45, 23450/100=234.5, 23450/10=2345, but these don't match the given times exactly due to decimal place differences. Primary KC Alignment: The problem requires working backwards from given decimals to find an original number, which is multiplication rather than division by powers of 10. Students need to multiply 23.450 by 1000, 234.50 by 100, etc. Grade Alignment: Ben's time of 234.50 seconds (nearly 4 minutes) and Chris's time of 2345.0 seconds (about 39 minutes) for 100m freestyle are completely unrealistic - world records are around 20-22 seconds. This makes the problem unsuitable for Primary 5 students who should work with realistic contexts. Synergy: Part (a) stands alone as a pattern recognition problem, while parts (b) and (c) are standard decimal comparison tasks that don't meaningfully connect to the division concept from part (a).</t>
  </si>
  <si>
    <t>Primary KC Alignment: Problem requires dividing by 5, but intended primary KC is dividing by 10, 100, 1000 and their multiples. 5 is not a multiple of these numbers. Grade Alignment: Dividing decimals by single-digit numbers like 5 requires long division skills typically taught in Primary 6, not Primary 5.</t>
  </si>
  <si>
    <t>Secondary KC Alignment: The problem does not require converting measurements from larger units in decimal form to smaller units. The distance 2.4 kilometers is already given and used directly without any unit conversion. Synergy: Since the secondary knowledge component is not needed, there is no synergy between primary and secondary knowledge components. The problem only requires rate calculation (12.50 * 2.4 = 30.00) without any unit conversion work.</t>
  </si>
  <si>
    <t>Answerability: The given amounts 4/5 L strawberry and 3/10 L mango do not maintain the specified ratio 2/3:1/2:5/6. Converting to common ratio 4:3:5, if strawberry is 4/5 L then mango should be 3/5 L but 3/10 L is given, creating conflicting information. Secondary KC Alignment: The problem only requires ratio calculations with fractions, not addition of fractions as separate operation. Synergy: Since secondary KC adding fractions is not needed, primary and secondary KCs are not used in tandem. Topic Alignment: Cooking/preparing smoothie recipes belongs to cooking/food preparation, not recreation activities like sports, games, music, or dancing.</t>
  </si>
  <si>
    <t>Grade alignment: This problem involves complex fraction ratios and multi-step fraction operations that are too advanced for Secondary O-level 1 students. The concept of ratios with fractions like 3/4 : 1/2 and the subsequent calculations would typically be introduced at higher secondary levels.</t>
  </si>
  <si>
    <t>Grade alignment issue: This problem requires finding ratios with fractions (3/4 : 1 1/2 : 5/6) and converting to simplest form, which involves working with LCD of denominators 4, 2, and 6. In Singapore syllabus, ratios involving fractions are typically introduced at Primary 6 level, not Secondary O-level 1. This problem would be too easy for Secondary 1 students who should be working with more advanced ratio concepts like algebraic ratios or compound ratios.</t>
  </si>
  <si>
    <t>Primary KC: The main computational challenge is decimal addition (12.5+6.25, 8.75+4.5), not ratio work with decimals. Synergy: Decimal addition and ratio components work sequentially rather than in integrated tandem. Grade: Problem difficulty suits upper primary (P5-P6) rather than Secondary O-level 1 which requires more advanced mathematical concepts.</t>
  </si>
  <si>
    <t>Answerability: Basketball free throws are discrete events that cannot be fractional - you cannot make 12.5 or 8.4 successful throws as each throw is either successful or unsuccessful. Real-world feasibility: The scenario describes making fractional numbers of basketball shots which is physically impossible in reality.</t>
  </si>
  <si>
    <t>Grade Alignment: This problem is too simple for Secondary O-level 1 students. Calculating basic percentages (70/84 * 100 = 83.33%) and converting to fractions (5/6) are concepts typically mastered in upper primary grades (Primary 5-6). Secondary O-level 1 students would need more complex percentage applications involving compound calculations, algebraic manipulation, or multi-step problem solving.</t>
  </si>
  <si>
    <t>Grade Alignment: The problem involves basic percentage increase (15%) and simple addition, which are concepts typically mastered in primary or lower secondary grades. For Secondary O-level 1 students, this problem lacks the complexity and advanced mathematical reasoning expected at that grade level.</t>
  </si>
  <si>
    <t>Grade_alignment: The problem involves basic percentage calculation (25% increase) and simple multiplication (30 x 6 x 4) which are too elementary for Secondary O-level 1 students. This difficulty level is more appropriate for Primary 5-6 students.</t>
  </si>
  <si>
    <t>Grade alignment: This problem involves basic percentage to fraction conversion (25% = 1/4) and simple reverse percentage calculation (45 ÷ 1/4 = 180 minutes). These concepts are typically covered in Primary 5-6 level, making it too elementary for Secondary O-level 1 students who should be working with more complex mathematical concepts.</t>
  </si>
  <si>
    <t>Grade alignment issue: The problem uses quadratic expressions (2n^2 + 3n - 5) which are typically taught in Secondary 2 or 3, not Secondary O-level 1. Secondary 1 students would typically work with linear expressions only.</t>
  </si>
  <si>
    <t>Grade Alignment: This problem is too advanced for Secondary O-level 1 students. Finding algebraic expressions for nth terms of sequences and solving inequalities algebraically are typically covered in Secondary 2 or 3. The complexity of deriving d_n = 12 + 3n and solving 12 + 3n &gt; 40 exceeds Secondary 1 curriculum expectations.</t>
  </si>
  <si>
    <t>Grade Alignment: The problem involves direct proportion concepts which are typically taught at lower secondary levels (Secondary 1-2), but the intended grade is Secondary O-level 2. O-level students would typically work with more advanced proportional relationships, inverse proportion, or algebraic methods rather than basic direct proportion calculations like 72/120 = 108/x.</t>
  </si>
  <si>
    <t>Grade Alignment: The problem is designed for Secondary O-level 2 but uses Primary-level knowledge components (simple linear inequalities). Singapore O-level Secondary 2 students would typically work with more complex algebraic concepts, simultaneous equations, quadratic functions, and advanced inequality systems. This problem's mathematical complexity is below the expected grade level.</t>
  </si>
  <si>
    <t>Synergy: The two parts (a) and (b) are independent questions that do not build upon each other - solving part (a) does not provide information needed for part (b). Grade_alignment: The quadratic equation modeling projectile motion with gravity effects (coefficient -5) is typically taught at higher secondary or pre-university level, not Secondary O-level 2.</t>
  </si>
  <si>
    <t>Grade alignment fails - finding median and range are basic statistical concepts typically taught at Primary 5-6 or Secondary 1 level in Singapore math syllabus, making this problem too simple for Secondary O-level 2 students who should be working with more advanced statistical concepts like standard deviation, quartiles, or probability distributions.</t>
  </si>
  <si>
    <t>Grade alignment: The problem uses standard form notation 1.2 x 10^-1 which is typically introduced at Secondary 3-4 level in Singapore syllabus, making it too advanced for Secondary O-level 2 students who would not have learned standard form with negative exponents yet.</t>
  </si>
  <si>
    <t>Grade alignment issue: The problem involves negative indices (2^(-2)) and complex laws of indices operations which are typically beyond Secondary O-level 3/4 and more appropriate for higher secondary mathematics levels.</t>
  </si>
  <si>
    <t>Answerability: Part (c) is ambiguous - it could mean total bonus points for all tennis time slots (6+10+8)*3=72 or individual time slots. Grade_alignment: This problem requires matrices operations which are typically taught at Secondary 4/5 or Junior College level in Singapore, not O-level 3/4. O-level 3/4 students have not covered matrices in the syllabus.</t>
  </si>
  <si>
    <t>Grade Alignment: Matrix operations including 3x3 matrix addition and subtraction are typically taught in Pre-Calculus or university-level courses, not at Secondary O-level 3/4 which corresponds to grades 9-10. Students at this level have not yet been introduced to matrix concepts in standard mathematics curricula.</t>
  </si>
  <si>
    <t>Grade Alignment: The problem requires knowledge of compound probability events using OR conditions and the addition rule for probability P(A or B) = P(A) + P(B) - P(A and B). This level of probability concepts involving multiple events and the addition rule is typically taught at higher secondary levels or pre-university mathematics, not at Primary O-level 3/4 which would focus on much simpler probability concepts like basic single event probabilities.</t>
  </si>
  <si>
    <t>Question 64</t>
  </si>
  <si>
    <t>Grade alignment: Primary 3 students typically work with 3-digit numbers, but this problem uses 4-digit numbers (1245, 1298, 1156) which is typically introduced in Primary 4. The addition of 4-digit numbers exceeds the expected mathematical complexity for Primary 3 students.</t>
  </si>
  <si>
    <t>Primary KC alignment: Problem requires multiplying 3-digit numbers by 1-digit numbers (126x4, 148x3, 235x2), but Primary 3 students typically learn multiplication of 2-digit by 1-digit numbers. Grade alignment: The multiplication operations involve 3-digit by 1-digit multiplication which exceeds typical Primary 3 curriculum expectations where students usually work with simpler multiplication facts and 2-digit by 1-digit operations.</t>
  </si>
  <si>
    <t>Clarity: The problem contains the phrase 'clarity' appears twice in the JSON structure which creates ambiguity in the evaluation framework. Additionally, while the problem context is clear, the transition between the two mathematical operations could be more explicitly connected in the problem statement.</t>
  </si>
  <si>
    <t>Answerability: Questions (a) and (b) ask for totals when only single fractions are given per person per challenge, making them unanswerable as intended. Primary KC Alignment: Questions (a) and (b) do not require adding fractions - they only restate given information. The primary knowledge component is not properly targeted. Synergy: Primary and secondary knowledge components are not used together - questions (a) and (b) need no addition, and question (c) can be solved independently. Clarity: Questions (a) and (b) are ambiguous since they ask what fraction Sarah completed in total when only one fraction per challenge type is provided.</t>
  </si>
  <si>
    <t>Primary KC alignment: The intended primary component specifies adding decimals up to 2 decimal places, but the problem includes 1.142 which has 3 decimal places, exceeding the intended scope.</t>
  </si>
  <si>
    <t>Primary KC alignment fails because the problem directly states Wednesday practice was 0.25 hours less than Monday, so no decimal subtraction calculation is needed - students just need to recognize 0.25 as the answer. Synergy fails because the primary KC (decimal subtraction) is not actually required to solve the problem, so the two knowledge components do not work together as intended.</t>
  </si>
  <si>
    <t>Grade Alignment: The problem requires converting 2.45 to fraction form 245/100, then simplifying to 49/20, and final answer 147/20. Working with complex fractions like 49/20 and 147/20 exceeds typical Primary 4 mathematical abilities.</t>
  </si>
  <si>
    <t>Answerability: The question what is the total distance Sarah swam per lap over the two days is ambiguous and unclear what specific calculation is required. Secondary KC alignment: Adding decimals is not clearly required since the question does not definitively ask for combining the per-lap distances. Synergy: The two knowledge components are not used in tandem as the addition step is not clearly necessary. Real-world feasibility: Swimming laps of 1.56-1.75 km each around a pool is unrealistic as typical pool laps are much shorter distances. Clarity: The final question is ambiguous about what calculation is actually wanted.</t>
  </si>
  <si>
    <t>Primary KC Alignment: The problem only requires adding fractions (7/4 + 5/3, 9/5 + 8/7, and summing the results). No multiplication of improper fractions is needed to solve any part of the problem. Synergy: The primary KC (multiplying improper fractions) is not used at all in the solution, so there is no synergy between the primary and secondary knowledge components.</t>
  </si>
  <si>
    <t>Primary KC alignment: The problem does not focus on multiplying improper fractions as the main concept. The multiplication 23/12 * 3/2 occurs as part of division by reciprocal, not as the primary skill being tested. The main operations are fraction addition, subtraction, and division. Synergy: Since the primary KC is not properly aligned, the intended synergy between multiplying improper fractions and subtracting fractions is not achieved in the problem structure.</t>
  </si>
  <si>
    <t>Secondary KC alignment fails because the subtraction step involves whole numbers (22 - 19 = 3) rather than fractions as specified in the intended Secondary Knowledge Component of subtracting fractions.</t>
  </si>
  <si>
    <t>Primary KC alignment fails because the problem requires multiplying 0.875 x 300, which is multiplying a decimal by a whole number that is not 10, 100, 1000 or their multiples. The intended primary KC specifically targets multiplication by 10, 100, 1000 and their multiples only. Synergy fails because the primary KC (decimal multiplication by powers of 10) is not actually needed to solve this problem - students would directly multiply 0.875 x 300 without using the specific skill of multiplying by 10, 100, 1000, then convert the result to mixed number form using only the secondary KC.</t>
  </si>
  <si>
    <t>Primary KC alignment: The problem requires multiplying 0.125 x 400, which is multiplying a decimal by a whole number, not specifically multiplying decimals by 10, 100, 1000 or their multiples as intended. Synergy: The two parts of the problem are independent - the first part calculates distance (0.125 x 400 = 50), the second part subtracts (65.8 - 50 = 15.8). The primary KC (decimal multiplication by powers of 10) and secondary KC (decimal subtraction) are not used in tandem as the multiplication does not involve powers of 10.</t>
  </si>
  <si>
    <t>Primary KC requires dividing decimals by 10, 100, 1000 and their multiples, but the problem divides 127.850 by 7, which is general decimal division not the specific targeted skill.</t>
  </si>
  <si>
    <t>Real-world feasibility fails because swimming 40000 meters in 4 laps of approximately 10 minutes total would require each lap to be 10000 meters and swimming speed of about 60 km/h which is impossible for humans.</t>
  </si>
  <si>
    <t>Real-world feasibility: In basketball tournaments, teams typically have 5 starting players + 7-12 substitutes = 12-17 total players per team. Having 30 players per team with 15 eliminated per team is unrealistic for standard basketball tournament structure.</t>
  </si>
  <si>
    <t>Real-world feasibility fails because 1.25 km/h is an unrealistically slow running pace - this is slower than normal walking speed (4-5 km/h). Marathon runners typically run at 10-20 km/h during training. This speed would be more appropriate for a very slow walk rather than running training.</t>
  </si>
  <si>
    <t>Real-world plausibility: The concept of dividing practice time over 2/3 of a week is unrealistic. People do not typically plan activities for fractional portions of a week in real life scenarios.</t>
  </si>
  <si>
    <t>Answerability: Missing critical information - Sarah's total practice time for today is not given, making the problem unsolvable. To find number of sessions = (3/4 * total time) / (2/5 hour per session), we need the total time. Clarity: The problem setup is ambiguous about what information is available versus what needs to be found, leading to confusion about the solution approach.</t>
  </si>
  <si>
    <t>Secondary KC alignment: The problem requires division (36/180) but this involves dividing whole numbers where 36/180 = 1/5, which is more about fractions/decimals than pure whole number division. Synergy: Since the secondary KC is not properly aligned, true synergy between primary and secondary KCs cannot be achieved. Conciseness: The shooting accuracy data (180/300 and 216/360) is irrelevant to solving the percentage increase question, as only the successful shot counts (180 and 216) are needed.</t>
  </si>
  <si>
    <t>Secondary KC Alignment: The problem does not require addition of whole numbers to solve. The solution only needs finding the ratio 45:36:54 and simplifying it to 5:4:6 by dividing by GCD of 9. No addition is needed. Synergy: Since the secondary knowledge component (addition) is not required for solving the problem, there is no synergy between the primary and secondary knowledge components.</t>
  </si>
  <si>
    <t>Grade alignment fails because Primary 6 students in Singapore have not typically learned algebraic variables and linear equations. This content involving variable x and algebraic expression manipulation is usually introduced in Secondary 1-2, making it too advanced for the intended grade level.</t>
  </si>
  <si>
    <t>Grade Alignment: This problem is too simple for Secondary O-level 1 students. The percentage calculations (25% and 15%) and whole number operations involved are more appropriate for upper primary levels (Primary 5-6). Secondary O-level 1 students would typically handle more complex percentage problems involving compound percentages, fractional percentages, or multi-step percentage applications that are more mathematically challenging.</t>
  </si>
  <si>
    <t>Grade alignment issue: The problem involves basic reverse percentage calculation (36 / 0.72 = 50) which is typically taught at Primary 5-6 level in Singapore curriculum, but it is assigned to Secondary O-level 1 students who would be learning much more advanced mathematical concepts. This makes the problem inappropriately easy for the intended grade level.</t>
  </si>
  <si>
    <t>Synergy: The multiplication component (x4) is too simple and does not meaningfully integrate with the ratio component - it serves as basic arithmetic rather than a substantial secondary knowledge component that adds complexity. Grade Alignment: The problem involves basic ratio concepts and simple multiplication suitable for Primary 5-6 level, making it too elementary for Secondary O-level 2 students who should be challenged with more advanced mathematical concepts.</t>
  </si>
  <si>
    <t>Grade Alignment: Standard deviation calculation is typically introduced at upper secondary levels (O-level 4/5 or A-levels), not at Secondary O-level 3/4. At O-level 3/4, students typically work with basic statistics like mean, median, mode, and range, but standard deviation is more advanced mathematical concept that requires understanding of variance and square roots of sums of squared deviations.</t>
  </si>
  <si>
    <t>Grade Alignment: The problem uses 4-digit numbers (8524, 6789, 7356) which are typically introduced in Primary 4, not Primary 3. Primary 3 students in Singapore math curriculum typically work with numbers up to 1000.</t>
  </si>
  <si>
    <t>Secondary KC alignment: The third question asks for total students participating, which is just the given number 847, requiring no addition operation. Synergy: The questions do not build on each other - the third question does not use results from the first two questions to create meaningful connection.</t>
  </si>
  <si>
    <t>Grade alignment: Primary 3 students typically work with 2-digit multiplication, but this problem requires 43 x 7 = 301, which is challenging 2-digit x 1-digit multiplication that may exceed typical Primary 3 expectations. Real-world feasibility: The scenario of giving 7 sheets of paper per paintbrush (301 sheets per group, 2408 total sheets) is unrealistic for a typical art club painting activity - this creates an impractical paper-to-paintbrush ratio.</t>
  </si>
  <si>
    <t>Grade alignment issue: The problem requires 816 / 6 which is 3-digit by 1-digit division typically taught in Primary 4, not Primary 3 where students usually learn 2-digit by 1-digit division.</t>
  </si>
  <si>
    <t>Secondary KC alignment fails because the problem requires only division operations (432/6=72, then 72/4=18) but the intended secondary KC is multiplication. The problem does not require multiplying whole numbers at any step. Synergy fails because both questions use division only, not the intended combination of division and multiplication working together.</t>
  </si>
  <si>
    <t>Grade Alignment: The problem requires finding common denominators for fractions with denominators 8 and 12 (LCM = 24), working with three different fractions simultaneously, and interpreting negative results. These concepts typically exceed Primary 3 level and are more appropriate for Primary 4-5.</t>
  </si>
  <si>
    <t>Real-world feasibility: The numbers of students attending from each school (2856, 1944, 3528) are unrealistically large for primary schools attending a badminton tournament. Typical primary schools have 300-800 total students, and bringing nearly 3000 students to a single sporting event is logistically implausible and does not mirror realistic school operations.</t>
  </si>
  <si>
    <t>Primary KC alignment fails because the intended Primary KC is adding decimals up to 2 decimal places, but the problem requires adding 3.126 which has 3 decimal places, exceeding the specified scope of the Primary KC.</t>
  </si>
  <si>
    <t>Secondary KC alignment: The problem can be solved using only 8.91 / 3 = 2.97, decimal subtraction is not required. Synergy: Since decimal subtraction is not needed, the two knowledge components do not work together. Conciseness: The purchase amounts 12.48 and 2.76 are irrelevant since 8.91 remaining is already given.</t>
  </si>
  <si>
    <t>Secondary KC alignment fails because 2 3/8 + 1 5/8 = 4 and 3 1/4 + 2 3/4 = 6, giving total = 10, which is already in simplest form - no simplification needed. Synergy fails because the secondary knowledge component is not actually used, so primary and secondary components do not work together.</t>
  </si>
  <si>
    <t>Primary KC alignment fails because the problem requires multiplying 23.456 x 30, which is multiplication of a decimal by a 2-digit number, not multiplication by 10, 100, 1000 or their multiples as specified in the intended Primary Knowledge Component.</t>
  </si>
  <si>
    <t>Primary KC alignment: The problem requires dividing 142.8 by 60, which involves dividing a decimal by a non-multiple of 10/100/1000. The intended primary KC specifies division by 10, 100, 1000 and their multiples only, but 60 is not a multiple of these numbers (60 = 2^2 * 3 * 5).</t>
  </si>
  <si>
    <t>Secondary KC alignment fails: problem converts from larger unit km to smaller unit meters, not smaller to larger as intended. Real-world feasibility fails: 1.25 km/min equals 75 km/hour which is unrealistic for human running speed.</t>
  </si>
  <si>
    <t>Secondary KC Alignment: The problem does not involve converting measurements from larger units in decimal form to smaller units. All values (0.8 laps/minute, 21.6 minutes) remain in their original units throughout the solution. No unit conversion occurs. Synergy: Since the secondary knowledge component is not present in the problem, there is no synergy between primary and secondary knowledge components. The problem only requires rate calculations with decimal multiplication.</t>
  </si>
  <si>
    <t>Answerability: Tuesday calculation gives 11/6 divided by 2/9 = 33/4 = 8.25 sessions. Cannot have fractional practice sessions in real world context. Real-World Plausibility: Same issue - 8.25 sessions is not realistic for actual practice sessions which must be whole numbers.</t>
  </si>
  <si>
    <t>Synergy: The two questions are independent - the point calculation (45*3=135, 63*3=189, 189-135=54) is not needed for the percentage calculation ((63-45)/45*100=40%). The questions should be connected where the result of the first question is used in the second question.</t>
  </si>
  <si>
    <t>Grade Alignment: This problem requires algebraic expressions with variables (a, b) and substitution, which are typically introduced in Secondary 1-2 mathematics curriculum, not Primary 6. Primary 6 students typically work with basic arithmetic and simple word problems without algebraic variables.</t>
  </si>
  <si>
    <t>Grade Alignment: The problem involves basic fraction subtraction (3/4 - 1/6, 5/6 - 1/4) and simple ratio calculation, which are typically Primary 5-6 level concepts in Singapore math curriculum. This is too elementary for Secondary O-level 1 students who should be working with more advanced algebraic concepts and complex ratios.</t>
  </si>
  <si>
    <t>Grade alignment: This problem involves basic fraction operations (multiplication by 7, finding ratios with simple fractions like 3/4 and 1/2, and division by 3) which are typically mastered in Primary 5-6. Secondary O-level 1 students would find this problem too elementary as they should be working with more complex algebraic concepts, advanced fraction operations, or multi-step ratio problems involving variables.</t>
  </si>
  <si>
    <t>Grade Alignment: The problem involves basic decimal subtraction (24.8 - 5.4, 18.6 - 5.4, 31.2 - 5.4) and simple ratio work, which is too elementary for Secondary O-level 1 students. This level of mathematical content would be more appropriate for Primary 5-6 grade levels.</t>
  </si>
  <si>
    <t>Grade Alignment: This problem involves basic percentage calculations (24/40 = 60%, 18/30 = 60%) and simple decimal conversion (60% = 0.60) that students typically learn in Primary 5-6. Secondary O-level 1 students would find this too elementary as they should be working with more complex percentage applications like compound interest, percentage error, or multi-step percentage problems.</t>
  </si>
  <si>
    <t>Grade alignment: This problem involves basic percentage calculations (25% increase) and simple division (480/12), which are concepts typically mastered in upper primary grades (Primary 5-6). For Secondary O-level 1 students, this problem would be too elementary and does not challenge students at the appropriate grade level with more complex mathematical concepts expected at that stage.</t>
  </si>
  <si>
    <t>Answerability: The connection between wanting to finish in 30 minutes and needing to know progress at 12 minutes is unclear and illogical. Primary KC: Problem can be solved with simple proportions, not fractional equations. Secondary KC: No equation setup required, just direct calculation. Synergy: Knowledge components not used together as problem doesn't require algebraic approach. Clarity: The phrase 'to stay on track' and relevance of 12 minutes is ambiguous. Conciseness: The 30-minute target information is irrelevant to solving the actual question asked.</t>
  </si>
  <si>
    <t>Grade alignment: This problem involves inverse proportion concepts which are typically introduced at higher secondary levels, not suitable for Secondary O-level 2 students who would be around 14 years old. The mathematical complexity of inverse proportional relationships k = xy where hours * days = constant (60) exceeds the expected mathematical maturity for this grade level.</t>
  </si>
  <si>
    <t>Grade Alignment: This problem requires understanding of inverse proportion concepts which are typically introduced at upper secondary level, making it too advanced for Secondary O-level 2 students who would be around 14 years old. The mathematical complexity involving inverse relationships and multi-step calculations exceeds the expected knowledge level for this grade.</t>
  </si>
  <si>
    <t>Grade Alignment: The problem requires solving systems of linear equations in two variables, which is typically taught at Secondary 3-4 level in Singapore curriculum, not Secondary O-level 2. This exceeds the appropriate grade level.</t>
  </si>
  <si>
    <t>Grade Alignment: This problem is too elementary for Secondary O-level 2 students. Finding median and mode are basic statistical concepts typically covered in primary or early secondary grades. O-level 2 students would be expected to handle more advanced statistical concepts like standard deviation, probability distributions, or statistical inference.</t>
  </si>
  <si>
    <t>Grade Alignment: The problem is designed for Secondary O-level 2 but involves concepts (median and percentiles) that are typically introduced in primary grades according to Singapore math syllabus. The problem difficulty and knowledge components are below the expected level for Secondary O-level 2 students.</t>
  </si>
  <si>
    <t>Primary KC: Mathematical language is imprecise - should say multiplied by 3^6 or divided by 3^2, not by points. Real-world: Scoring system with values like 3^4 * 3^6 / 3^2 = 3^8 = 6561 points is unrealistic for gaming tournaments. Clarity: Ambiguous phrasing about multiplying/dividing by points rather than by the numerical values. Language: Grammatically incorrect construction of multiplied by X points and divided by X points.</t>
  </si>
  <si>
    <t>Grade alignment: The mathematical complexity involving exponential sound modeling with expressions like I_0 * 2^(-2x) and sophisticated index operations exceeds typical O-level 3/4 capabilities. Real-world feasibility: The specific exponential relationships and the producer's analytical approach with exact mathematical formulas like I_0 * 2^(-8) at 16 meters seems contrived rather than reflecting realistic sound engineering practices.</t>
  </si>
  <si>
    <t>Grade Alignment: The problem involves matrix operations which are typically taught at A-level or higher secondary mathematics, not at O-level 3/4 grade. Matrix subtraction and scalar multiplication are advanced topics beyond the typical O-level curriculum.</t>
  </si>
  <si>
    <t>Grade Alignment: This problem requires advanced matrix operations including scalar multiplication and matrix multiplication which are typically taught at A-level or early university mathematics, not at Secondary O-level 3/4. O-level students typically learn basic matrix operations but not complex multi-step matrix calculations involving both scalar and matrix multiplication in tandem.</t>
  </si>
  <si>
    <t>Grade alignment issue: The problem requires multiplication of probabilities which is typically taught at higher secondary/pre-university level, not at O-level 3/4 grade in Singapore math syllabus.</t>
  </si>
  <si>
    <t>Grade Alignment: 3-digit by 1-digit multiplication (126 x 4) is typically taught in Primary 4, not Primary 3. Primary 3 students usually work with 2-digit by 1-digit multiplication.</t>
  </si>
  <si>
    <t>Answerability: The problem assumes Sarah needs more medals without checking if 1200 is sufficient. The calculation shows 8 * 125 = 1000, so 1200 medals is already more than needed, making the question illogical. Grade Alignment: Multiplying 125 * 8 requires 3-digit by 1-digit multiplication which is typically taught in Primary 4, not Primary 3. Real-World Feasibility: Basketball teams typically have 5-15 players, not 125 players per team which is unrealistic for school basketball.</t>
  </si>
  <si>
    <t>Secondary KC alignment: The answer 5/6 - 1/6 = 4/6 = 2/3 is already in its simplest form when calculated, so simplifying fractions is not actively required to solve the problem. Synergy: Since the secondary knowledge component of simplifying fractions is not needed, there is no synergy between the primary and secondary knowledge components.</t>
  </si>
  <si>
    <t>Primary KC alignment: The problem can be solved by simple subtraction (2340 - 156 = 2184) without requiring multiplication of whole numbers as specified in the primary knowledge component. Synergy: The primary knowledge component (multiplication) is not needed to solve this problem, so there is no synergy between primary and secondary knowledge components. The boxing information with 24 tennis balls per box is irrelevant to finding the answer. Conciseness and relevance: The information about packing tennis balls into boxes of 24 is unnecessary for solving the problem and makes it less concise.</t>
  </si>
  <si>
    <t>Secondary KC alignment fails because the problem requires multiplication (406 * 3) rather than addition as specified in the intended Secondary Knowledge Component.</t>
  </si>
  <si>
    <t>synergy: The two questions are independent - the first question asks for 3/4 - 1/3 and the second asks for 3/4 + 1/3 + 5/6. The result from question 1 is not used to solve question 2, so the questions are not connected as required for synergy.</t>
  </si>
  <si>
    <t>Grade alignment issue: The problem uses 3 decimal places (2.406 seconds) which exceeds Primary 4 level where students typically work with decimals up to 2 decimal places.</t>
  </si>
  <si>
    <t>Clarity: The rounding instruction is ambiguous - unclear whether to provide both rounded answers or choose one format.</t>
  </si>
  <si>
    <t>Clarity: The problem structure creates confusion by asking about ballet practice over two days then all routines over three days. The phrasing makes it unclear which time periods correspond to which activities, even though the problem is technically solvable.</t>
  </si>
  <si>
    <t>Secondary KC alignment fails because 3 * 9/4 = 27/4 = 6 3/4 is already in simplest form, requiring no fraction simplification. Synergy fails because the secondary knowledge component is not needed to solve the problem.</t>
  </si>
  <si>
    <t>Answerability: The concept of using 5/3 or 4/3 of energy level is illogical - one cannot use more than 100% of their energy level in reality. Real-world feasibility: Using more than 100% of energy level (133% and 125% respectively) is physically impossible and unrealistic. Clarity: The term energy-hours is not clearly defined and may confuse students - it appears to be time multiplied by energy fraction but this unit is ambiguous.</t>
  </si>
  <si>
    <t>Real-world plausibility: People do not typically describe practice time as 7/4 times as long in natural speech - they would use simpler expressions like twice as long or 2 times as long.</t>
  </si>
  <si>
    <t>Answerability: The problem contains illogical information - swimming 100 times faster should result in a shorter time (0.875/100 = 0.00875 seconds), not 0.875 x 100 = 87.5 seconds. The mathematical relationships are contradictory. Real-world feasibility: A lap time of 0.875 seconds is physically impossible for human swimming - competitive swimmers take 20-30+ seconds per lap. Swimming 100 times faster would be superhuman. The scenario does not mirror realistic swimming performance. Clarity: The phrase '100 times faster' is ambiguous and creates confusion about whether time should increase or decrease. The mathematical operations shown contradict the stated relationship of swimming faster.</t>
  </si>
  <si>
    <t>Primary KC alignment: The problem requires multiplying decimals by whole numbers (0.025 x 20, 0.018 x 30, 0.022 x 40) and converting km to m (multiply by 1000), but the intended primary KC is specifically about multiplying decimals by 10, 100, 1000 and their multiples. The main multiplication operations are with whole numbers 20, 30, 40, not with 10, 100, 1000. Synergy: While both primary and secondary KCs are needed, they are used sequentially rather than in tandem - first multiply decimals by whole numbers, then convert units by multiplying by 1000, then add the results. The KCs do not work together synergistically to solve a unified problem.</t>
  </si>
  <si>
    <t>Answerability: The problem states each time is obtained by dividing the same number by different powers of 10, but 23.450, 234.50, and 2345.0 cannot be obtained this way - they would need to be 23.45, 234.5, and 2345 respectively. Primary KC Alignment: The problem requires multiplying decimals by powers of 10 to find the original number, not dividing decimals by powers of 10 as intended. The solving process is inverse to the intended knowledge component. Synergy: Parts (a) and (b) are independent - part (b) can be solved without using the result from part (a). Grade Alignment: The times given (234.50 seconds and 2345.0 seconds for 100m freestyle) are mathematically unrealistic - 234.5 seconds is nearly 4 minutes and 2345 seconds is over 39 minutes for a 100m race. Real World Feasibility: Swimming 100m freestyle in 234.5 seconds or 2345 seconds is completely unrealistic for any swimming competition.</t>
  </si>
  <si>
    <t>Primary KC alignment fails because the problem requires dividing decimals by 5 (28.750 / 5 and 26.425 / 5), not by 10, 100, 1000 or their multiples as specified in the intended Primary Knowledge Component.</t>
  </si>
  <si>
    <t>Secondary KC Alignment: The problem does not require converting measurements from larger units in decimal form to smaller units. The distance 2.4 kilometers is already given and used directly without any unit conversion. Synergy: Since the secondary knowledge component is not needed for solving the problem, there is no synergy between the primary and secondary knowledge components. The problem only requires rate calculation (12.50 × 2.4 = 30.00) without any unit conversion component.</t>
  </si>
  <si>
    <t>Primary KC alignment fails because the main division operation is (5/4) / 4, which is dividing a fraction by a whole number, not dividing by a proper fraction as specified in the intended Primary KC: dividing a whole number/proper fraction by a proper fraction.</t>
  </si>
  <si>
    <t>Answerability: The phrase 'percentage increase in total points scored by Team Tigers from the first game to the second game' is ambiguous - unclear whether it means percentage change from game 1 score to game 2 score or something about cumulative totals. Clarity: Same ambiguous phrasing creates confusion about what exactly should be calculated.</t>
  </si>
  <si>
    <t>Answerability: The given amounts 4/5 L strawberry juice and 3/10 L mango juice do not maintain the specified ratio 2/3 : 1/2 since 4/5 : 3/10 = 8:3 while 2/3 : 1/2 = 4:3, creating conflicting information. Secondary KC Alignment: The problem requires fraction multiplication and division to solve ratio relationships, not fraction addition as intended. Synergy: Since the secondary knowledge component (fraction addition) is not actually needed, there is no synergy between primary and secondary components.</t>
  </si>
  <si>
    <t>Grade Alignment: The problem involves ratios with fractions 3/4:1/2 and basic fraction multiplication 2/3*3, which are typically primary school level concepts (P5-P6). This is too elementary for Secondary O-level 1 students who should be working with more complex mathematical concepts.</t>
  </si>
  <si>
    <t>Grade alignment issue: The problem involves basic fraction operations and ratio simplification typically taught in Primary 5-6. For Secondary O-level 1 students, this problem would be too elementary as they should be working with more advanced algebraic ratios and complex mathematical relationships.</t>
  </si>
  <si>
    <t>Grade alignment fails because this problem involves basic decimal addition (12.5 + 6.25 = 18.75, 8.75 + 4.5 = 13.25) and simple ratio formation (18.75:13.25 = 3:2.12 approximately or 75:53 exactly), which are concepts typically covered in Primary 5-6 level, not Secondary O-level 1 which should involve more advanced mathematical concepts.</t>
  </si>
  <si>
    <t>Answerability: Basketball free throws are discrete events that cannot result in decimal values like 12.5 or 8.4 successful throws - you either make a shot or miss it completely. Real-world feasibility: The scenario describes making fractional basketball shots which is physically impossible in reality since each free throw attempt results in either success (1) or failure (0).</t>
  </si>
  <si>
    <t>Grade Alignment: The problem involves basic percentage calculation (15% increase) and simple addition, which are too elementary for Secondary O-level 1 students. This level of mathematics is more appropriate for primary school grades 5-6, not secondary school students who should be working with more complex mathematical concepts.</t>
  </si>
  <si>
    <t>Grade alignment: The problem involves basic percentage increase (25%) and simple multiplication, which are typically taught and mastered in primary grades (around Grade 5-6). For Secondary O-level 1 students, this problem is too elementary and does not match the expected mathematical complexity for that grade level.</t>
  </si>
  <si>
    <t>Grade alignment issue: This problem involves basic percentage concepts (25% = 1/4, reverse percentage with simple multiplication) that are typically covered in Primary 5-6 or lower Secondary levels. For Secondary O-level 1 students, this problem is too elementary and does not provide appropriate challenge or complexity expected at that grade level.</t>
  </si>
  <si>
    <t>Answerability: The expression 2n^2 + 3n - 5 gives 0 successful throws on day 1, which creates an illogical scenario. Grade Alignment: Quadratic expressions are typically taught in Secondary O-level 3-4, not O-level 1 in Singapore curriculum. Real-World Feasibility: A basketball player making exactly 0 successful free throws on day 1 of practice is unrealistic.</t>
  </si>
  <si>
    <t>Grade Alignment: This problem is too advanced for Secondary O-level 1 students. Finding algebraic expressions for nth terms of sequences and solving inequalities with algebraic expressions typically requires knowledge from higher secondary levels. The complexity of deriving d_n = 12 + 3n and solving 12 + 3n &gt; 40 exceeds typical Secondary O-level 1 curriculum expectations.</t>
  </si>
  <si>
    <t>Grade Alignment: The problem is too advanced for Secondary O-level 2 students. Direct proportion concepts involving ratios and multi-step problem solving with division typically align with higher secondary levels (O-level 3-4). The complexity of maintaining shooting accuracy ratios while calculating total shots and then distributing among players requires mathematical maturity beyond O-level 2.</t>
  </si>
  <si>
    <t>Grade Alignment: The problem is designed for Secondary O-level 2 but uses knowledge components (solving simple linear inequalities) that are typically introduced in Primary 6 or Secondary 1, making it too basic for O-level 2 students who should be working with more advanced algebraic concepts like quadratic equations, simultaneous equations, or complex inequalities.</t>
  </si>
  <si>
    <t>Grade alignment fails because solving -5t^2 + 6t - 1.5 = 0 and -5t^2 + 6t + 2.1 = 0 requires handling irrational solutions with discriminants 6 and 31.5 respectively, which is too advanced for O-level 2 students who typically work with quadratics having integer or simple rational solutions.</t>
  </si>
  <si>
    <t>Grade alignment: Finding median and range are basic statistical concepts typically taught at Primary 5-6 or Secondary 1 level in Singapore math syllabus. These concepts are too elementary for Secondary O-level 2 students who should be working with more advanced statistical concepts like standard deviation, probability distributions, or hypothesis testing.</t>
  </si>
  <si>
    <t>Grade alignment issue: One of the standard form numbers 9.8 x 10^-2 has A = 9.8 which violates the standard form requirement that 1 &lt;= A &lt; 10. This creates confusion as proper standard form should be taught at Secondary O-level 2.</t>
  </si>
  <si>
    <t>Grade alignment: Secondary O-level 3/4 is not a standard grade specification in Singapore education system. Real-world feasibility: Gaming tournaments using powers of 2 with negative indices for scoring, resulting in fractional penalty scores like 2^(-2) = 0.25 points, is unrealistic.</t>
  </si>
  <si>
    <t>Answerability: Part (c) asks for total bonus points for tennis players in Week 1, but the matrix A shows tennis data in row 3 as (6, 10, 8) representing different time slots, not a single total. The question is ambiguous about whether to sum across time slots or use individual values. Grade Alignment: This problem requires Secondary O-level 3/4 matrix operations knowledge which is typically beyond primary school level. The intended grade appears to be secondary level but matrices are generally introduced at higher secondary levels, making this potentially too advanced for the specified grade level.</t>
  </si>
  <si>
    <t>Grade alignment fails - the problem requires understanding of independent events, addition rule for non-mutually exclusive events P(A or B) = P(A) + P(B) - P(A and B), and complex fraction arithmetic (denominators of 24). These concepts exceed typical O-level 3/4 curriculum and are more appropriate for advanced secondary or pre-university mathematics.</t>
  </si>
  <si>
    <t>Grade alignment: Secondary O-level 3/4 is not a standard grade designation in Singapore education system which uses Primary 1-6 and Secondary 1-4/5.</t>
  </si>
  <si>
    <t>Primary KC alignment: The problem requires multiplying 3-digit numbers (126, 148, 235) by 1-digit numbers (4, 3, 2), but the intended primary KC is multiplying whole numbers UP TO 3 digits by 1 digit, which typically means the multiplicand should be at most 3 digits but the complexity suggests this exceeds Primary 3 level expectations. Grade alignment: Multiplying 3-digit by 1-digit numbers like 126×4=504, 148×3=444, 235×2=470 requires advanced multiplication skills typically taught in Primary 4 or higher, not Primary 3.</t>
  </si>
  <si>
    <t>Answerability: Questions (a) and (b) ask for totals but only provide single fractions per person per activity - Sarah has 2/3 painting and 1/4 music, Emma has 1/2 painting and 3/8 music. No addition possible. Primary KC Alignment: Primary component requires adding unlike fractions but questions (a) and (b) involve single fractions only, no addition needed. Synergy: Addition and comparison components cannot work together since addition component is not properly utilized. Clarity: Asking for total fractions when only single values exist per category creates confusion.</t>
  </si>
  <si>
    <t>Primary KC alignment: The problem requires adding decimals including 1.142 which has 3 decimal places, exceeding the intended scope of up to 2 decimal places for addition.</t>
  </si>
  <si>
    <t>Grade Alignment: Converting decimals to fractions and fraction simplification are typically taught in Primary 5-6, making this problem too advanced for Primary 4 students.</t>
  </si>
  <si>
    <t>Secondary KC Alignment: The comparison is between decimals 13.5 and 12.8, not fractions, so fraction comparison skills are not needed. Synergy: Since fraction comparison is not required, the primary and secondary knowledge components do not work together as intended.</t>
  </si>
  <si>
    <t>Primary KC Alignment: The problem only requires adding fractions (7/4 + 5/3, 9/5 + 8/7, then summing results). No multiplication of improper fractions is needed despite this being the intended primary KC. Synergy: Since the primary KC (multiplying improper fractions) is not actually used in the solution, there is no synergy between primary and secondary KCs - only the secondary KC (adding fractions) is utilized.</t>
  </si>
  <si>
    <t>Primary KC Alignment: The problem primarily requires division of fractions (23/12 divided by 2/3), not multiplication of two improper fractions as intended. Synergy: The intended primary KC (multiplying improper fractions) and secondary KC (subtracting fractions) are not used in tandem - division is the main operation needed, not multiplication.</t>
  </si>
  <si>
    <t>Real-world feasibility: Swimming 2 3/4 laps per minute (165 laps per hour) and 3 1/6 laps per minute (190 laps per hour) are unrealistically fast rates for human swimming training. Typical competitive swimmers complete 1-2 laps per minute at most.</t>
  </si>
  <si>
    <t>Primary KC: Problem requires 0.875 x 300 but 300 is not a multiple of 10, 100, or 1000 as specified. Secondary KC: Problem requires converting decimal to mixed number, not expressing decimal as fraction.</t>
  </si>
  <si>
    <t>Primary KC misalignment: Problem requires 0.125 * 400 which is general decimal multiplication, not specifically multiplication by 10, 100, 1000 or their multiples as intended.</t>
  </si>
  <si>
    <t>Primary KC alignment fails because the problem requires dividing by 7, but the intended primary KC specifically targets dividing by 10, 100, 1000 and their multiples. 7 is not a multiple of 10, 100, or 1000.</t>
  </si>
  <si>
    <t>Real-world feasibility issue: Swimming 40000 meters in 4 laps means each lap is 10000 meters (10 km), which is unrealistic for typical swimming practice. Standard pool laps are 25m, 50m, or at most a few hundred meters.</t>
  </si>
  <si>
    <t>Real-world feasibility: Basketball teams typically have 5 players on court with limited substitutes (usually 7-12 total players per team). Having 30 players per team and eliminating 15 players in one round does not reflect realistic basketball tournament structure.</t>
  </si>
  <si>
    <t>Real-world feasibility: 1.25 km/h is unrealistically slow for marathon training - this is slower than normal walking speed of 4-5 km/h. Marathon runners typically train at speeds of 8-15 km/h.</t>
  </si>
  <si>
    <t>Real-world plausibility fails because 2/3 of a week equals 4 + 2/3 days, but practicing for 2/3 of a day is unrealistic in normal daily scheduling. The mathematical result of 3/4 hours per day does not align with how people would typically plan practice sessions.</t>
  </si>
  <si>
    <t>Answerability: Missing critical information - total practice time not given, making problem unsolvable. Primary KC alignment: Cannot perform intended division operation due to missing information. Secondary KC alignment: Cannot convert result to decimal since no unique answer exists. Synergy: Primary and secondary components cannot work together due to missing information preventing solution.</t>
  </si>
  <si>
    <t>Secondary Knowledge Component Alignment: The problem does not require adding whole numbers. The three point values (45, 36, 54) are given directly and no addition operation is needed to solve for the ratio. Synergy: Since addition is not required in the solution, there is no synergy between finding ratios and adding whole numbers.</t>
  </si>
  <si>
    <t>Grade alignment issue: This algebraic problem with variables is too advanced for Primary 6 students who typically work with concrete arithmetic problems. Algebraic thinking with variables is usually introduced in Primary 7/Secondary 1 in Singapore math curriculum.</t>
  </si>
  <si>
    <t>Secondary KC alignment: The problem can be solved using reverse percentages (36 / 0.72 = 50) but does not explicitly require or emphasize converting percentage to decimal form. Synergy: Since the secondary knowledge component is not clearly integrated into the problem structure, there is no meaningful synergy between the primary and secondary knowledge components.</t>
  </si>
  <si>
    <t>Grade Alignment: The problem involves basic ratio concepts (3:5 ratio, direct proportion) and simple whole number multiplication (x4) which are typically covered in Primary 5-6 or lower secondary levels. For Secondary O-level 2 students, this problem would be too elementary and does not match the expected mathematical sophistication and complexity required for that grade level.</t>
  </si>
  <si>
    <t>Grade alignment: Matrix operations are too advanced for O-level Secondary 3/4 students. Real-world feasibility: The multiplication of team base scores by individual member multipliers creates illogical mixing of team-level and individual-level data that does not reflect realistic gaming score calculation.</t>
  </si>
  <si>
    <t>Grade Alignment: Standard deviation calculation is typically introduced at higher secondary levels (O-level 4/5 or A-levels) rather than Secondary O-level 3/4. At O-level 3/4, students typically work with simpler statistical measures like mean, median, mode, and range. Standard deviation requires understanding of variance, squared deviations, and square roots of statistical measures which are more advanced concepts.</t>
  </si>
  <si>
    <t>Grade Alignment: 4-digit numbers and operations with 4-digit numbers are typically introduced in Primary 4, not Primary 3. Primary 3 students typically work with numbers up to 1000 or at most 3-digit numbers. The numbers 8524, 6789, and 7356 exceed the typical Primary 3 curriculum scope.</t>
  </si>
  <si>
    <t>Secondary KC alignment: The third question asks for total students participating, which equals the original 847 students given, requiring no additional calculation beyond restating the given information. Synergy: The questions do not build upon each other - the third question does not use results from questions 1 and 2, instead it simply restates the original number 847.</t>
  </si>
  <si>
    <t>Clarity: The problem contains 2 questions in the first sentence asking about paintbrushes per group and remainder, then 1 question in the second sentence about paper sheets. This creates ambiguity about whether there are 2 or 3 total questions to answer, making the problem structure unclear.</t>
  </si>
  <si>
    <t>Secondary KC Alignment: Problem does not require multiplication - both questions use division only (432/6=72, then 72/4=18). Synergy: No synergy between primary and secondary KC since multiplication is not used in the solution.</t>
  </si>
  <si>
    <t>Grade Alignment: The problem involves complex fractions (3/8, 5/12, 13/24) and requires finding LCM of 24, which exceeds typical Primary 3 curriculum that focuses on simpler unit fractions and basic denominators.</t>
  </si>
  <si>
    <t>Answerability: The division calculations contain errors - 2856/8=357, 1944/8=243, 3528/8=441, but these do not divide evenly as implied by the problem context of dividing students equally into groups. Real-world feasibility: The numbers of students attending a badminton tournament are unrealistic - 2856, 1944, and 3528 students per school for a single sporting event is implausibly large for primary schools.</t>
  </si>
  <si>
    <t>Secondary KC Alignment: The problem asks to express the answer as a mixed number, but the intended secondary KC is converting decimals to fractions, not mixed numbers. The calculation 2.75 + 1.8 + 3.25 = 7.8 results in 7.8, which when converted to a fraction becomes 7 4/5 (mixed number), but this requires fraction conversion knowledge beyond what is specified. Synergy: Since the secondary KC is not properly aligned, there is no effective synergy between primary and secondary knowledge components. The decimal addition (primary KC) can be completed independently without requiring decimal-to-fraction conversion as specified in the secondary KC.</t>
  </si>
  <si>
    <t>Primary KC Alignment: The problem requires adding 3.126 km which has 3 decimal places, exceeding the intended primary KC of adding decimals up to 2 decimal places only. Grade Alignment: Adding decimals with 3 decimal places (3.126) is typically beyond Primary 4 level in Singapore math syllabus, which focuses on decimals up to 2 decimal places at this grade.</t>
  </si>
  <si>
    <t>Secondary KC alignment fails because decimal subtraction is not required - the remaining amount 8.91 is directly given. Synergy fails because the two knowledge components do not work together since subtraction is not needed. Conciseness fails because the purchase amounts 12.48 and 2.76 are irrelevant information not needed for solving the problem.</t>
  </si>
  <si>
    <t>Secondary KC Alignment: The answer 2 1/4 * 6 = 13 1/2 is already in simplest form, so no fraction simplification is actually required. Synergy: Since no real simplification work is needed, the primary and secondary knowledge components do not work together meaningfully to solve the problem.</t>
  </si>
  <si>
    <t>Primary KC alignment fails because the problem requires multiplying 23.456 x 30, which is multiplying a decimal by a non-multiple of 10/100/1000. The intended primary KC is specifically about multiplying decimals by 10, 100, 1000 and their multiples, but 30 is not a multiple of these numbers.</t>
  </si>
  <si>
    <t>Primary KC alignment fails because the problem requires dividing 142.8 by 60, but the intended Primary KC is about dividing decimals by 10, 100, 1000 and their multiples. 60 is not a multiple of 10, 100, or 1000.</t>
  </si>
  <si>
    <t>Secondary KC requires conversion from smaller to larger units but problem converts km to m (larger to smaller). Synergy fails due to secondary KC misalignment. Running pace of 1.25 km/min = 75 km/h is unrealistic for humans.</t>
  </si>
  <si>
    <t>Secondary KC Alignment: Problem involves decimal multiplication 0.8 * 21.6 but does not involve converting measurements from larger units to smaller units. No unit conversion occurs. Synergy: Since secondary KC is not present, primary and secondary KCs cannot work in tandem.</t>
  </si>
  <si>
    <t>Answerability: Tuesday calculation gives 11/6 ÷ 2/9 = 33/4 = 8.25 sessions. Cannot have 8.25 practice sessions in reality - sessions must be whole numbers. Real-world feasibility: Same issue - the mathematical result of 8.25 sessions is not realistic as you cannot have a fraction of a practice session.</t>
  </si>
  <si>
    <t>Secondary KC alignment: The answer (3/4) / (1/8) = 6 is a whole number, so fraction simplification is not needed despite the instruction asking for simplest form. Synergy: Since secondary KC is not actually required, there is no meaningful connection between primary and secondary knowledge components.</t>
  </si>
  <si>
    <t>ANSWERABILITY: The problem asks for percentage decrease but accuracy remained constant at 70% both months (84/120 = 105/150 = 0.7). There is no decrease to calculate, making the question fundamentally flawed. PRIMARY_KC_ALIGNMENT: Since both months have identical 70% accuracy, there is no percentage increase or decrease occurring. The primary knowledge component cannot be meaningfully applied. SYNERGY: With no actual percentage change to calculate, the primary and secondary knowledge components cannot work together as intended - whole number subtraction becomes irrelevant when the final result is 0% change.</t>
  </si>
  <si>
    <t>The two questions are somewhat independent - the percentage increase question uses the original throw counts (45 and 63) while the points question uses multiplication. The questions do not build upon each other where one result feeds into the next calculation.</t>
  </si>
  <si>
    <t>Grade Alignment: The problem requires understanding of algebraic variables (a, b), creating complex algebraic expressions with multiple variables, and substitution methods. These concepts are typically introduced in Secondary 1-2 mathematics curriculum, not Primary 6. Primary 6 students typically work with simple algebraic expressions with one variable and basic substitution only.</t>
  </si>
  <si>
    <t>Grade alignment: The problem involves fraction subtraction and ratios with fractions which are typically taught at Primary 5-6 level, making it too simple for Secondary O-level 1 students who should be working with more advanced mathematical concepts.</t>
  </si>
  <si>
    <t>Grade alignment: This problem involves basic fraction operations (multiplication by 7, finding ratios with simple fractions like 3/4 and 1/2, and dividing fractions by whole numbers) which are typically covered in Primary 5-6 levels, not Secondary O-level 1. Secondary O-level 1 students would be expected to handle more complex fraction operations and algebraic concepts.</t>
  </si>
  <si>
    <t>Grade Alignment: The problem is too simple for Secondary O-level 1 students. It only requires basic decimal subtraction (24.8 - 5.4) and simple ratio concepts typically taught in elementary/middle school grades, not advanced secondary level mathematics.</t>
  </si>
  <si>
    <t>Grade Alignment: The problem involves basic percentage calculations (24/40 = 60%, 18/30 = 60%) and simple decimal conversions (60% = 0.6) which are typically taught at Primary 5-6 level in Singapore curriculum. This is significantly below the expected complexity and knowledge components for Secondary O-level 1 students.</t>
  </si>
  <si>
    <t>Grade alignment: This problem is too simple for Secondary O-level 1 students. It only requires basic division (480/12=40) and percentage calculation (40*1.25=50, then 50*8=400), which are concepts typically mastered in primary school. Secondary O-level 1 students would be expected to handle more complex mathematical concepts and multi-step problems with higher cognitive demands.</t>
  </si>
  <si>
    <t>Primary KC: Problem solves using rates and proportions, not fractional equations. Secondary KC: Solution uses direct calculation, no algebraic equation translation needed. Synergy: Neither intended KC required so cannot work together. Grade: Problem difficulty suits lower secondary level, not O-level 1 algebraic complexity.</t>
  </si>
  <si>
    <t>Grade alignment: This problem involves inverse proportion concepts which are typically taught at higher secondary levels, not at Secondary O-level 2. The mathematical complexity of inverse proportion relationships and the multi-step problem solving required exceeds what would be appropriate for Secondary O-level 2 students.</t>
  </si>
  <si>
    <t>Grade Alignment: The problem involves inverse proportion concepts which are typically introduced at higher secondary levels, but Secondary O-level 2 students may not have sufficient exposure to inverse proportion as a formal mathematical concept. The complexity of setting up and solving inverse proportion relationships may be above the expected knowledge level for this grade.</t>
  </si>
  <si>
    <t>Grade Alignment: The problem requires solving systems of linear equations in two variables, which is typically taught in Secondary 3-4 curriculum, not Secondary O-level 2 as intended.</t>
  </si>
  <si>
    <t>grade_alignment: Finding median and mode are basic statistical concepts typically taught in Primary 5-6 or Secondary 1. This problem is too elementary for Secondary O-level 2 students who should be working with more advanced statistical concepts.</t>
  </si>
  <si>
    <t>Grade Alignment: The problem is designed for Secondary O-level 2 but involves concepts like finding percentiles for datasets which are typically introduced at higher secondary levels or pre-university mathematics in Singapore curriculum. For Secondary 2 students, basic median finding is appropriate but percentile calculations exceed the expected knowledge components for this grade level.</t>
  </si>
  <si>
    <t>Answerability: Problem states Sarah starts with 3 points but then her score becomes 3^4 points in first round - conflicting information about starting value. Real-world feasibility: Gaming scoring system where scores are multiplied by 3^6 points or divided by 3^2 points is unrealistic and illogical. Clarity: Ambiguous whether calculation starts from 3 or 3^4 due to conflicting statements about initial score.</t>
  </si>
  <si>
    <t>Answerability: The term distance factor for x is ambiguous - unclear if x represents actual distance in meters or a mathematical parameter. This creates confusion about whether x=4 when distance is 4 meters. Clarity: The phrase distance factor lacks clear mathematical definition, making it difficult to understand what x represents in the context. Real-world feasibility: The mathematical relationship I_0 * 2^(-2x) does not realistically model how sound intensity decreases with distance in actual acoustic environments.</t>
  </si>
  <si>
    <t>Grade alignment fails because formal set notation, set theory operations, and Venn diagram concepts are typically taught at university or advanced high school level, not O-level 3/4.</t>
  </si>
  <si>
    <t>Grade Alignment: This problem requires matrix operations including scalar multiplication and matrix multiplication, which are typically covered in pre-university or university level mathematics, not Secondary O-level 3/4. O-level students typically learn basic arithmetic, algebra, geometry, and introductory statistics, but matrix operations are beyond the standard O-level curriculum.</t>
  </si>
  <si>
    <t>Answerability: The problem lacks clear specification of how to combine the actual participants matrix (R-W) with the scoring matrix S. The dimensions are incompatible - (R-W) is 3x3 while S is 3x2, and the problem does not clearly explain how to apply the weights to get a single total score. Clarity: The problem is ambiguous about the exact calculation method. It mentions considering only first two game categories but does not clearly specify which matrix elements to use or how to perform the final multiplication and summation to get the total weighted score.</t>
  </si>
  <si>
    <t>Grade alignment issue: The problem involves basic probability multiplication (2/5 * 3/8) which is too elementary for Secondary O-level 3/4 students. This level typically requires more advanced probability concepts like conditional probability, combinations, or complex statistical analysis rather than simple fraction multiplication.</t>
  </si>
  <si>
    <t>Answerability: Problem has logical inconsistency - Sarah ordered 1200 medals but only needs 8*125=1000 medals, creating surplus of 200 medals rather than shortage. Secondary KC Alignment: Subtraction not meaningfully required since excess medals exist rather than shortage. Synergy: Knowledge components cannot work together properly due to logical problem setup. Real-World Feasibility: Unrealistic scenario where organizer orders excess medals without knowing participant count.</t>
  </si>
  <si>
    <t>Primary KC alignment: Problem only requires subtraction (2340 - 156), not multiplication as intended. Synergy: No synergy exists since multiplication is not actually needed to solve the problem. Conciseness: Information about packing into boxes of 24 tennis balls is irrelevant to finding how many are available for sale.</t>
  </si>
  <si>
    <t>Secondary KC alignment: The problem requires multiplication (406 x 3 = 1218) rather than addition of whole numbers. While 406 could theoretically be added 3 times, this is not the natural or expected solution method. Synergy: Since addition is not meaningfully used in the solution, there is no synergy between division and addition - the primary KC (division) is used independently followed by multiplication.</t>
  </si>
  <si>
    <t>synergy: The two questions in the word problem are independent of each other. The first question asks for the difference between Monday and Tuesday practice times (3/4 - 1/3), while the second question asks for the total practice time for all three days (3/4 + 1/3 + 5/6). The result from the first question is not used as input for the second question, so the Primary and Secondary Knowledge Components are not used in tandem.</t>
  </si>
  <si>
    <t>Primary KC Alignment: The primary knowledge component specifies subtraction of decimals up to 2 decimal places, but the problem uses 3 decimal places (25.847 - 0.18 = 25.667). This exceeds the intended scope. Grade Alignment: Primary 4 students typically work with decimals up to 2 decimal places according to Singapore math syllabus. The problem uses 3 decimal places (25.847, 25.903) which is beyond Primary 4 level and more appropriate for Primary 5.</t>
  </si>
  <si>
    <t>Primary KC alignment: The intended Primary KC specifies decimals up to 2 decimal places, but the problem includes 2.406 which has 3 decimal places. Grade alignment: The use of 3-decimal place numbers (2.406) exceeds the typical Primary 4 curriculum scope, which generally focuses on decimals up to 2 decimal places.</t>
  </si>
  <si>
    <t>The problem asks to round the answer to both the nearest whole number AND to 1 decimal place, using the conjunction and. This creates ambiguity about whether two separate answers are expected or just one answer rounded in a specific way. The instruction should clearly specify whether it wants both roundings performed separately or clarify the single intended rounding requirement.</t>
  </si>
  <si>
    <t>Answerability: The concept of using 5/3 or 4/3 of energy level is illogical - one cannot use more than 100% of their energy level in reality. Real-world feasibility: Using more than 100% of energy level (133% and 125% respectively) is not realistic or possible. Clarity: The term energy-hours as a unit of measurement is unclear and not standard, making it difficult for Primary 5 students to understand what this represents.</t>
  </si>
  <si>
    <t>Real-world feasibility: Sarah practicing 5/3 hours (1 hour 40 minutes) on Monday and 35/12 hours (2 hours 55 minutes) on Tuesday are realistic practice durations, but the specific fraction 7/4 times as long creates an artificial mathematical relationship that is unlikely to occur naturally in real piano practice scheduling.</t>
  </si>
  <si>
    <t>Secondary KC Alignment: The problem requires adding whole numbers (22 + 11 = 33), not adding fractions as intended. Synergy: The multiplication results in whole numbers, so the primary and secondary knowledge components are not used in tandem - no fraction addition is needed.</t>
  </si>
  <si>
    <t>Answerability: The problem contains illogical mathematical relationships. Tuesday shows 100 times faster but calculates 0.875 x 100 = 87.5 seconds, which is actually 100 times SLOWER since larger time means slower speed. Wednesday and Thursday have similar logical inconsistencies between stated pace multipliers and actual speed implications. Real-world feasibility: Swimming lap times of 0.875 seconds are physically impossible - even Olympic swimmers take 20-30 seconds per 50m lap. Additionally, the mathematical relationships described (faster pace resulting in longer times) contradict real swimming performance. Clarity: The problem uses confusing language mixing pace multipliers with time calculations, making it unclear whether higher numbers mean faster or slower swimming.</t>
  </si>
  <si>
    <t>Primary KC misalignment: The problem requires multiplying decimals by whole numbers (0.025 × 20, 0.018 × 30, 0.022 × 40), not multiplying decimals by 10, 100, 1000. The intended primary KC is multiplying decimals by powers of 10 and their multiples, but the actual computation involves multiplying by 20, 30, and 40 which are not multiples of 10, 100, or 1000.</t>
  </si>
  <si>
    <t>Answerability: The problem states each time comes from dividing the same number by different powers of 10, but 23.450, 234.50, and 2345.0 cannot all be obtained this way - they would require the same base number 23450 divided by 1000, 100, and 10 respectively, but Ben's realistic 100m time should be around 23-24 seconds, not 234.50 seconds. Primary KC Alignment: The problem requires working backwards from given decimal results to find an original number, which is multiplication rather than the intended division of decimals by powers of 10. Real World Feasibility: Swimming times of 234.50 seconds (3 minutes 54 seconds) and 2345.0 seconds (39 minutes 5 seconds) for 100m freestyle are completely unrealistic - world records are around 46-47 seconds. Synergy: Since the primary KC alignment fails, there is no proper synergy between the intended knowledge components.</t>
  </si>
  <si>
    <t>Primary KC alignment fails because the problem requires dividing by 5, but the intended primary KC specifies dividing by 10, 100, 1000 and their multiples. Since 5 is not a multiple of these numbers, the problem does not align with the intended primary knowledge component.</t>
  </si>
  <si>
    <t>Secondary KC Alignment: The problem does not require converting measurements from larger units in decimal form to smaller units. The distance 2.4 kilometers is already given and used directly without any unit conversion. Synergy: Since the secondary knowledge component is not present in the problem, there is no synergy between primary and secondary knowledge components. The problem only requires rate calculation (12.50 x 2.4 = 30.00) without unit conversion.</t>
  </si>
  <si>
    <t>Primary KC alignment fails because the main division operation is (5/4) / 4, which is dividing a fraction by a whole number, not dividing by a proper fraction as specified in the intended Primary Knowledge Component of dividing a whole number/proper fraction by a proper fraction.</t>
  </si>
  <si>
    <t>Answerability: The given amounts of strawberry juice (4/5 L) and mango juice (3/10 L) do not maintain the specified ratio of 2/3 : 1/2 : 5/6, creating conflicting information that makes the problem unsolvable. Secondary KC Alignment: The problem requires fraction multiplication and division to solve ratio problems, not fraction addition as intended. Synergy: Since secondary KC is not properly aligned, synergy between primary and secondary components fails. Topic Alignment: Cooking club activities fall under food preparation/culinary arts, not recreation activities like sports, games, music, or dancing.</t>
  </si>
  <si>
    <t>Grade alignment fails: Secondary O-level 1 students (age 13-14) typically do not work with complex ratios involving fractions like 3/4 : 1/2. This level of ratio complexity with fraction operations is more appropriate for higher secondary levels. The problem requires advanced understanding of fractional ratios beyond typical O-level 1 curriculum.</t>
  </si>
  <si>
    <t>Grade alignment issue: This problem requires advanced fraction operations including converting mixed numbers to improper fractions (1 1/2 = 3/2), finding least common multiples of denominators (4, 2, 6 -&gt; LCM = 12), and complex fraction arithmetic (9/12, 18/12, 10/12). These skills are typically taught in Primary 5-6 in Singapore curriculum, not Secondary O-level 1 where students would be working with more advanced algebraic ratios and proportions.</t>
  </si>
  <si>
    <t>Grade alignment: The problem involves basic decimal addition (12.5 + 6.25 = 18.75, 8.75 + 4.5 = 13.25) and simple ratio representation (18.75:13.25 = 3:2.12 or 75:53). These are elementary operations typically covered in primary grades 4-6, not secondary O-level 1 which should involve more advanced mathematical concepts.</t>
  </si>
  <si>
    <t>Answerability: Basketball free throws are counted in whole numbers, not decimals like 12.5 or 8.4. You cannot make half a successful free throw. Real-world feasibility: The scenario describes making fractional free throws (12.5 out of 17.5, 8.4 out of 11.2) which is impossible in basketball where each shot attempt results in either success (1) or failure (0).</t>
  </si>
  <si>
    <t>Grade Alignment: This problem is too simple for Secondary O-level 1 students. Calculating 70/84 * 100% = 83.33...% and converting percentages to fractions are concepts typically mastered in primary grades 5-6. Secondary O-level 1 students would be expected to handle more complex percentage problems involving compound interest, profit/loss calculations, or multi-step percentage changes.</t>
  </si>
  <si>
    <t>Grade Alignment: The problem involves basic 15% calculation and simple addition which are too elementary for Secondary O-level 1 students. This grade level requires more complex mathematical concepts and multi-step reasoning beyond basic percentage increase + addition.</t>
  </si>
  <si>
    <t>Grade alignment: The problem involves basic percentage calculation (25% increase) and simple multiplication, which are too elementary for Secondary O-level 1 students. This grade level requires more advanced mathematical concepts and complex problem-solving skills.</t>
  </si>
  <si>
    <t>Grade alignment: This problem involves basic percentage to fraction conversion (25% = 1/4) and simple reverse percentage calculation (45 ÷ 1/4 = 180 minutes), which are typically mastered at Primary 5-6 level in Singapore math curriculum. Secondary O-level 1 students would find this problem too elementary as they should be working with more complex percentage applications, compound percentages, or percentage change problems.</t>
  </si>
  <si>
    <t>Grade alignment issue: The problem uses quadratic expressions (n^2 terms) which are typically taught in Secondary 2-3, not Secondary O-level 1 where students usually work with linear expressions only.</t>
  </si>
  <si>
    <t>Grade alignment: This problem requires understanding of arithmetic sequences and algebraic expressions which are typically introduced in Secondary 2-3 level mathematics, not Secondary O-level 1. The complexity of finding nth term expressions and solving inequalities exceeds typical Secondary 1 curriculum expectations.</t>
  </si>
  <si>
    <t>Grade alignment fails because the mathematical concepts (basic ratios, proportions, and whole number division) are too elementary for Secondary O-level 2 students. These concepts are typically mastered in primary grades (around Grade 5-6), making this problem significantly below the intended grade level.</t>
  </si>
  <si>
    <t>Grade alignment fails - Secondary O-level 2 students typically study quadratic equations, coordinate geometry, and trigonometry. This linear inequality problem with rate calculations is more appropriate for Secondary 1 or lower secondary levels. The mathematical complexity does not match the advanced grade level specified.</t>
  </si>
  <si>
    <t>Grade alignment issue: The problem uses advanced physics concepts like projectile motion with specific gravity coefficients (-5t^2 term) that are typically taught at higher levels than Secondary O-level 2. The mathematical complexity and physics background required exceed the intended grade level.</t>
  </si>
  <si>
    <t>Synergy: The median and range are calculated independently from the same dataset, but the range result is not used in subsequent calculations or integrated with the median result meaningfully. Grade Alignment: Finding median and range are Primary 5-6 level concepts in Singapore math curriculum, which is significantly below the intended Secondary O-level 2 grade level.</t>
  </si>
  <si>
    <t>Grade alignment issue: One value 9.8 x 10^-2 has A = 9.8 which violates standard form requirement 1 &lt;= A &lt; 10 (should be A &lt; 10, not A &lt;= 10). This creates confusion about proper standard form representation for Secondary O-level 2 students.</t>
  </si>
  <si>
    <t>Grade alignment: Problem difficulty (basic laws of indices with negative powers) is too elementary for O-level 3/4 students who should handle more advanced index operations. Real-world feasibility: Gaming tournaments do not use multiplicative scoring systems with negative fractional scores - they typically use additive point systems for practical tracking and fairness.</t>
  </si>
  <si>
    <t>Answerability: Part (c) is ambiguous - unclear whether tennis refers to row 3 or if tennis data needs to be identified differently since the problem states rows represent sports but doesn't explicitly map which row corresponds to tennis. Grade_alignment: This problem requires advanced matrix operations concepts typically taught at higher secondary or pre-university level, not suitable for O-level 3/4 students who would be around 15-16 years old.</t>
  </si>
  <si>
    <t>Grade alignment fails because matrix operations are typically taught at Pre-University/A-level, not O-level 3/4 in Singapore curriculum. O-level math focuses on algebra, geometry, trigonometry and statistics, while matrices are advanced topics beyond this grade level.</t>
  </si>
  <si>
    <t>Grade Alignment: The problem requires addition rule for non-mutually exclusive events P(A or B) = P(A) + P(B) - P(A and B), which is typically A-level content, not suitable for O-level 3/4 students who learn basic probability concepts.</t>
  </si>
  <si>
    <t>Grade alignment issue: The problem requires advanced probability concepts including multiplication of probabilities and analysis of combined events, which is too complex for Primary 3/4 students. The mathematical content requires understanding of fractions 3/5, probability calculation 4/12 = 1/3, and complex probability scenarios suitable for O-level secondary students aged 15-16, not primary students aged 9-10.</t>
  </si>
  <si>
    <t>Primary KC Alignment: The problem requires multiplying 3-digit numbers (126, 148, 235) by 1-digit numbers (4, 3, 2), but the intended primary KC is multiplying whole numbers UP TO 3 digits by 1 digit, which typically means the multiplicand should be at most 99 for Primary 3 level. The numbers 126, 148, and 235 exceed this expectation. Grade Alignment: The calculations required (4x126=504, 3x148=444, 2x235=470) involve 3-digit by 1-digit multiplication that produces results in the hundreds, which may be too advanced for Primary 3 students who typically work with smaller numbers in multiplication.</t>
  </si>
  <si>
    <t>Answerability: Questions (a) and (b) ask for totals when only single values are given per person - Sarah completed 2/3 painting and 1/4 music, so asking for her total in each category is unclear. Primary KC Alignment: Questions (a) and (b) do not require adding unlike fractions since only one fraction per person per challenge is provided - no addition needed. Synergy: Questions (a) and (b) results are not needed to solve question (c) which requires independent fraction addition and comparison. Clarity: Questions (a) and (b) are ambiguous about what total means when only single fractions are provided for each person per challenge.</t>
  </si>
  <si>
    <t>Primary KC alignment: Problem requires adding decimals up to 3 decimal places (1.142) but intended KC specifies up to 2 decimal places only. Synergy: The two knowledge components work independently rather than in tandem - addition and comparison are separate tasks not building on each other. Grade alignment: Primary 4 students typically work with decimals up to 2 decimal places but this problem includes 3 decimal places which may be too advanced.</t>
  </si>
  <si>
    <t>Answerability: The question 'What is the total distance Sarah swam per lap over the two days?' is ambiguous - unclear if asking for sum of distances per lap or separate calculations. Grade_alignment: Tuesday calculation 5.24 / 3 = 1.748 km results in 3 decimal places, exceeding Primary 4 expectation of 2 decimal places. Real_world_feasibility: Pool laps of different lengths (1.56 km vs 1.748 km) on consecutive days is unrealistic - pools have fixed perimeters. Clarity: Ambiguous phrasing makes the intended calculation unclear.</t>
  </si>
  <si>
    <t>Primary KC Alignment: The problem requires only fraction addition, not multiplication of improper fractions as intended. No multiplication operations are needed to solve any part. Synergy: Since the primary KC (fraction multiplication) is not actually required, there is no synergy between the intended primary and secondary knowledge components. The problem only uses fraction addition throughout.</t>
  </si>
  <si>
    <t>Primary KC alignment: Problem requires general decimal multiplication (0.875 * 300), not specifically multiplying decimals by 10, 100, 1000 or their multiples. Synergy: Since primary KC is not actually used, there is no synergy between intended primary and secondary knowledge components.</t>
  </si>
  <si>
    <t>Primary KC alignment: The problem requires 0.125 * 400 which is standard decimal multiplication, not specifically multiplying by 10, 100, 1000 or their multiples as intended. Synergy: The two parts can be solved independently - the second question uses 65.8 and 50 (result from first part) but does not require the primary KC of multiplying by multiples of 10/100/1000, only basic decimal subtraction.</t>
  </si>
  <si>
    <t>Primary KC alignment: The problem requires dividing 127.850 by 7, but the intended primary KC is dividing by 10, 100, 1000 and their multiples. 7 is not a multiple of these numbers. Synergy: Since the primary KC does not align with the actual division needed (127.850 / 7), the primary and secondary KCs cannot work together as intended in this problem.</t>
  </si>
  <si>
    <t>Answerability: The mathematical relationship between dividing total time by 400 to get average time per 100m is logically flawed. Real-world feasibility: The calculation method described does not produce a meaningful real-world result. Clarity: The explanation of why dividing by 400 gives time per 100m is mathematically incorrect and confusing. Conciseness: The 40000 meters information is irrelevant to solving the problem and creates unnecessary confusion.</t>
  </si>
  <si>
    <t>Real-world feasibility: In basketball tournaments, players are typically not eliminated from teams during matches - teams as units advance or are eliminated. Individual players being removed from multiple teams simultaneously (15 from each of 8 teams) does not reflect realistic basketball tournament operations.</t>
  </si>
  <si>
    <t>Real-world feasibility: 1.25 km/hour is unrealistically slow for marathon training - this is walking speed not running speed. Marathon runners typically train at 8-15 km/hour.</t>
  </si>
  <si>
    <t>Real-world feasibility: The phrase 2/3 of the week is unrealistic. People do not typically plan activities using fractional portions of weeks. A more realistic scenario would specify a concrete number of days like the next 3 days or next 5 days.</t>
  </si>
  <si>
    <t>ANSWERABILITY: The problem has missing critical information - Sarah's total practice time is not given, making it impossible to determine actual session count. REAL_WORLD_FEASIBILITY: The scenario is unrealistic because practice sessions have fixed durations but the problem treats them as variable fractions of total time, which contradicts how piano practice actually works. CLARITY: The problem is ambiguous about whether 3/4 refers to total planned time or actual time practiced, and the relationship between session length and total time is unclear. CONCISENESS_AND_RELEVANCE: The fraction 3/4 appears irrelevant to the solution since without knowing total practice time, this information cannot be meaningfully used to find number of sessions.</t>
  </si>
  <si>
    <t>Secondary Knowledge Component (whole number division) is not required - the calculation 36/180 involves dividing by 180 which yields 0.2, not whole number division. Synergy fails because the secondary KC is not needed. Conciseness fails because the denominators 300 and 360 are provided but not needed for solving the problem - only the numerators 180 and 216 are required.</t>
  </si>
  <si>
    <t>Secondary KC alignment fails because the problem does not require adding whole numbers - the three point values are given directly and students only need to find their ratio in simplest form. The solution process involves ratio formation and simplification using GCD, not addition. Synergy fails because since addition is not needed, the primary and secondary knowledge components are not used together to solve the problem.</t>
  </si>
  <si>
    <t>Grade Alignment: The problem requires solving linear equations with algebraic variables (x), which is typically introduced in Secondary 1, not Primary 6. Primary 6 students have not yet learned to work with algebraic unknowns in equations.</t>
  </si>
  <si>
    <t>Grade alignment fails because Secondary O-level 1 students should be working with more advanced mathematical concepts like algebra, quadratic equations, or advanced geometry. This problem only requires basic percentage calculations and subtraction that are typically mastered in primary school (grades 5-6). The mathematical complexity is below the expected level for Secondary O-level 1.</t>
  </si>
  <si>
    <t>Grade Alignment: This problem requires setting up algebraic equations with variables (3x + 5x = 8x, then 4 * 8x = 192) and solving linear equations systematically. These algebraic manipulation skills and formal variable-based problem solving approaches are typically taught at Secondary 3-4 level, not Secondary 2 (O-level 2). Secondary 2 students would typically handle simpler ratio problems with direct arithmetic methods rather than algebraic equation solving.</t>
  </si>
  <si>
    <t>Matrix B is described as multiplier bonuses per team member but the mathematical operation AB multiplies team base scores by these individual bonuses which creates an illogical relationship. The narrative suggests B should represent team-level multipliers not individual member bonuses to make the multiplication meaningful.</t>
  </si>
  <si>
    <t>Grade Alignment: The problem requires calculation of standard deviation which is typically taught at Secondary 4/5 or higher levels, not Secondary 3. Standard deviation involves complex mathematical concepts including square roots of variance calculations that exceed the typical Secondary O-level 3 curriculum which usually covers basic statistics like mean, median, mode but not standard deviation.</t>
  </si>
  <si>
    <t>Secondary KC alignment: The third question asks for total students participating, which is 847 (given number), requiring no addition calculation. Synergy: The division results (141 groups, 1 remaining) are not used in the addition question, and the addition question does not add meaningful complexity as it simply restates given information.</t>
  </si>
  <si>
    <t>Secondary KC Alignment: The intended secondary knowledge component is multiplication of whole numbers, but the problem only requires division operations (432/6=72, then 72/4=18). No multiplication is needed to solve either question. Synergy: Since the secondary knowledge component (multiplication) is not actually used in the problem, there is no synergy between the primary KC (division) and secondary KC (multiplication). Both questions only require division skills.</t>
  </si>
  <si>
    <t>Answerability: The second question asks how much longer Wednesday was compared to Monday+Tuesday, but 5/12 &lt; 7/12, so Wednesday was actually shorter, making the question illogical. Primary KC Alignment: The subtraction 5/12 - 7/12 = -1/6 creates a negative result which contradicts the question asking how much longer. Grade Alignment: Fraction operations with unlike denominators are typically taught in Primary 4-5, not Primary 3 in Singapore math curriculum.</t>
  </si>
  <si>
    <t>Real-world feasibility: The numbers of students are unrealistic for inter-school badminton tournaments. Primary schools typically have 300-1500 total students, so bringing 2856, 1944, and 3528 students to a single tournament is implausible. This would represent multiple entire schools worth of students for just cheering activities.</t>
  </si>
  <si>
    <t>Secondary KC Alignment: The problem asks to express the answer as a mixed number, but the intended secondary KC is about converting decimals to fractions, not mixed numbers. The total is 7.8 km which would be expressed as 7 4/5 as a mixed number, but this requires fraction conversion skills beyond the stated secondary KC. Synergy: Since the secondary KC alignment fails, there is no proper synergy between primary and secondary KCs. The problem primarily focuses on decimal addition with mixed number conversion rather than decimal to fraction conversion.</t>
  </si>
  <si>
    <t>Primary KC specifies adding decimals up to 2 decimal places, but the problem includes 3.126 which has 3 decimal places, exceeding the intended specification.</t>
  </si>
  <si>
    <t>Secondary Knowledge Component Alignment: The problem states Sarah had $8.91 left, making decimal subtraction unnecessary since the remaining amount is directly given. The solution only requires decimal division: $8.91 / 3 = $2.97. Synergy: Since decimal subtraction is not needed to solve the problem, the primary and secondary knowledge components are not used in tandem. The secondary component adds no complexity to the problem-solving process.</t>
  </si>
  <si>
    <t>Answerability: The problem has a logical flaw - both students practiced exactly 22 hours total (Sarah: 2.75 × 8 = 22, Emma: 1.833... × 12 = 22), making the question 'who practiced more and by how much' unanswerable as intended since they practiced the same amount. Secondary KC Alignment: While the problem requires calculating two different mixed number products, it does not require comparing/ordering fractions as knowledge components - students only need to compare the final whole number results (22 vs 22). The fraction comparison skill is not actually needed. Synergy: Since the secondary KC (fraction comparison) is not genuinely required, there is no true synergy between multiplying mixed numbers and comparing fractions.</t>
  </si>
  <si>
    <t>Secondary KC alignment fails because 2 1/4 * 6 = 54/4 = 13 1/2 is already in simplest form, so no actual simplifying work is required. Synergy fails because the secondary KC is not genuinely needed to solve the problem.</t>
  </si>
  <si>
    <t>Primary KC alignment fails because the problem requires multiplying 23.456 x 30, which involves multiplying a decimal by a 2-digit number rather than specifically by 10, 100, 1000 or their multiples as stated in the intended Primary Knowledge Component.</t>
  </si>
  <si>
    <t>Primary KC alignment: The problem requires dividing 142.8 by 60, but the intended primary KC is dividing decimals by 10, 100, 1000 and their multiples. Since 60 is not a multiple of 10, 100, or 1000, this does not align with the intended primary knowledge component.</t>
  </si>
  <si>
    <t>Real-world feasibility: 2400/48 = 50 meters per lap is unusually long for typical swimming pools which are commonly 25m or maximum 50m for Olympic pools, making this scenario unrealistic.</t>
  </si>
  <si>
    <t>Secondary KC alignment: Problem converts from larger unit (km) to smaller unit (m), but intended KC is converting smaller to larger units. Synergy: Secondary KC not properly implemented so components don't work in tandem. Real-world feasibility: Running pace of 1.25 km/min equals 75 km/hour which is unrealistic for human marathon training.</t>
  </si>
  <si>
    <t>Secondary KC alignment: Problem does not involve converting measurements from larger units in decimal form to smaller units - no unit conversion occurs. Synergy: Since secondary KC is not properly integrated, there is no synergy between primary and secondary knowledge components.</t>
  </si>
  <si>
    <t>Secondary KC Alignment: The problem asks to express answer in simplest form if it is a fraction, but the answer 3/4 ÷ 1/8 = 6 is a whole number, so no fraction simplification is actually needed or demonstrated. Synergy: Since the secondary knowledge component (fraction simplification) is not actually required to solve the problem, the two knowledge components do not work in tandem as intended.</t>
  </si>
  <si>
    <t>Primary KC alignment: Problem asks for percentage decrease but accuracy remains constant at 70% both months (84/120 = 105/150 = 0.7), so no decrease exists to calculate. Synergy: Since no actual percentage decrease occurs, primary and secondary knowledge components cannot work together meaningfully.</t>
  </si>
  <si>
    <t>Real-world feasibility: The problem states Team A will win all 4 additional games, which changes their win:loss ratio from 3:5 to 22:30. In reality, maintaining or guaranteeing a specific win rate in future games is not realistic.</t>
  </si>
  <si>
    <t>Grade Alignment: The problem requires advanced algebraic manipulation with variables (a, b) and creating complex algebraic expressions like (a + 2a + 3a) + (b + (b+5) + b) = 6a + 3b + 5, which is beyond Primary 6 level in Singapore math syllabus. Primary 6 students typically work with simple algebraic concepts and basic substitution, not multi-variable expressions of this complexity.</t>
  </si>
  <si>
    <t>Grade Alignment: The problem involves basic fraction operations (3/4 - 1/6, 5/6 - 1/4) and simple ratio concepts that are typically taught in Primary 5-6. For Secondary O-level 1 students, this content is too elementary and below their expected mathematical level.</t>
  </si>
  <si>
    <t>Grade Alignment: This problem is too elementary for Secondary O-level 1 students. The operations required are basic fraction multiplication (3/4 * 7 and 1/2 * 7), simple ratio representation (21/4 : 7/2), and basic fraction division (21/4 ÷ 3). These skills are typically mastered in upper primary grades (Primary 5-6), not secondary level. Secondary O-level 1 students would be expected to handle more complex mathematical concepts and multi-step problems involving advanced algebraic thinking.</t>
  </si>
  <si>
    <t>Grade Alignment: This problem requires knowledge of ratios involving decimals and expressing ratios in simplest form by finding GCD of decimal-derived integers. These concepts are typically taught at Secondary 2-3 level in Singapore math curriculum, not Secondary O-level 1. The complexity of finding GCD of larger numbers (97, 66, 129) and working with 3-term ratios involving decimals exceeds Secondary O-level 1 expectations.</t>
  </si>
  <si>
    <t>Grade Alignment: This problem is too simple for Secondary O-level 1 students. Converting percentages to decimals and basic percentage calculations are typically mastered in Primary 5-6. Secondary O-level 1 students would be expected to handle more complex percentage problems involving compound interest, profit/loss, or multi-step percentage calculations.</t>
  </si>
  <si>
    <t>Grade alignment: This problem involves basic percentage calculations (25% increase) and simple division (480/12) which are typically mastered in primary grades 5-6. For Secondary O-level 1 students, this problem would be too elementary and does not match the expected complexity level for that grade.</t>
  </si>
  <si>
    <t>Primary KC: Problem solved through proportional reasoning and fraction arithmetic, not by solving fractional equations. Secondary KC: No algebraic equations need to be formed from the real-world scenario. Synergy: Neither intended knowledge component is used. Grade: Problem difficulty is too basic for Secondary O-level 1, requiring only upper primary level fraction and proportion skills rather than algebraic equation solving.</t>
  </si>
  <si>
    <t>Grade Alignment: This problem involves inverse proportion concepts which are typically introduced at higher secondary levels, not at Secondary O-level 2. The mathematical complexity of inverse proportional relationships and the multi-step problem solving required exceed what would be appropriate for Secondary O-level 2 students who would typically work with simpler ratio concepts and basic multiplication.</t>
  </si>
  <si>
    <t>Grade Alignment: This problem requires understanding of inverse proportion, which is typically introduced at upper secondary or O-level grades. For Secondary O-level 2 students, inverse proportion concepts may be too advanced as this topic is usually covered in higher grade levels. The mathematical complexity of inverse proportional relationships exceeds what is typically expected at this grade level.</t>
  </si>
  <si>
    <t>Grade Alignment: The problem requires solving systems of linear equations in two variables, which is typically taught at Secondary 3-4 level, not Secondary 2 (O-level 2). Secondary 2 students usually work with single-variable linear equations.</t>
  </si>
  <si>
    <t>Grade alignment: This problem is too basic for Secondary O-level 2 students. Finding median and mode are typically covered in lower secondary or even upper primary levels. O-level 2 students should be working with more advanced statistical concepts like quartiles, standard deviation, probability distributions, or complex data analysis rather than basic median and mode calculations.</t>
  </si>
  <si>
    <t>Synergy: The median calculation and percentile calculation work independently with the same dataset. The result from finding the median is not used as input for determining the percentile of the 175 cm player. The questions are not connected where one result feeds into the other.</t>
  </si>
  <si>
    <t>Grade alignment: The ambiguous wording about score transformation could confuse O-level students. Real-world feasibility: Gaming tournaments do not use complex exponential scoring with division operations. Clarity: The phrase her score becomes 3^4 points is ambiguous about whether this replaces the initial score or transforms it.</t>
  </si>
  <si>
    <t>Answerability: The given constraint that intensity at 16m is I_0 * 2^(-8) is inconsistent with the formula I_0 * 2^(-2x) - no value of x satisfies both conditions simultaneously. Real-World Plausibility: Sound intensity patterns and amplification factors appear contrived rather than realistic - actual sound intensity follows inverse square law, not the exponential pattern described.</t>
  </si>
  <si>
    <t>Grade alignment: The problem uses formal set notation and multi-part set theory concepts that are too advanced for O-level 3/4 students. Formal set operations with notation like |B∪S| are typically introduced at A-level or higher mathematics courses.</t>
  </si>
  <si>
    <t>Grade Alignment: Matrix operations are typically taught at A-level or university level, not O-level 3/4. Real-World Feasibility: Gaming tournaments do not typically use matrix multiplication to calculate weighted scores - this is an artificial mathematical construct. Clarity: The problem setup is confusing as it initially presents 3x3 matrices for 3 rounds and 3 game categories, but then asks to consider only 2 categories with a 3x2 scoring matrix, creating dimensional confusion about which rows/columns correspond to what.</t>
  </si>
  <si>
    <t>Grade Alignment: The problem is designed for Secondary O-level 3/4 but uses Primary-level probability concepts. Multiplication of probabilities for independent events and basic probability fractions like 2/5 and 3/8 are typically introduced in Primary 5-6 grades in Singapore math syllabus, making this problem too simple for Secondary O-level students who should be working with more advanced probability concepts like conditional probability, probability distributions, or complex combinatorial problems.</t>
  </si>
  <si>
    <t>Real-world plausibility fails because basketball teams typically have 5 to 12 players, not 125 players per team. This makes the scenario unrealistic.</t>
  </si>
  <si>
    <t>Primary KC alignment: Problem only requires subtraction (2340-156=2184), no multiplication needed despite intended primary KC being multiplication. Synergy: No synergy between multiplication and subtraction since multiplication is not actually required to solve the problem. Conciseness: Information about packing 24 balls per box is irrelevant to finding available balls for sale.</t>
  </si>
  <si>
    <t>Secondary KC alignment: The problem requires multiplication (406 × 3) not addition as intended. While 3248 could theoretically be seen as a sum, the problem does not require students to perform addition operations. Synergy: Since the intended secondary KC (addition) is not actually needed, there is no synergy between division and addition - instead the problem uses division followed by multiplication.</t>
  </si>
  <si>
    <t>Primary KC alignment: The intended primary KC is subtraction of decimals up to 2 decimal places, but the problem uses 25.847 - 0.18 which involves 3 decimal places (25.847), exceeding the 2 decimal place requirement. Grade alignment: Primary 4 students typically work with decimals up to 2 decimal places according to Singapore math syllabus, but this problem requires working with 3 decimal places (25.847, 25.903) which is above Primary 4 level.</t>
  </si>
  <si>
    <t>Primary KC specifies decimals up to 2 decimal places but problem includes 2.406 (3 decimal places). Grade alignment issue as Primary 4 typically works with 2 decimal places maximum. Swimming times of 2.4 seconds for 50m freestyle are unrealistic - would represent world record pace rather than typical training times.</t>
  </si>
  <si>
    <t>Real-world plausibility: The concept of swimming 3/4 of a lap per stroke cycle is unrealistic. In actual swimming, a stroke cycle is one complete arm movement covering 1-2 meters, while a lap is typically 25+ meters or more. The mathematical relationship described does not reflect realistic swimming mechanics.</t>
  </si>
  <si>
    <t>Answerability: The concept of using 5/3 or 4/3 of energy level is illogical - one cannot use more than 100% of their energy level, making fractions greater than 1 impossible for energy usage. Real-world feasibility: It is physically impossible to use more than 100% of one's energy level, making the scenario unrealistic. Clarity: The term 'energy-hours' is not clearly defined and may confuse students about what this unit represents.</t>
  </si>
  <si>
    <t>Real-world feasibility fails because 5/3 hours = 1 hour 20 minutes and 35/12 hours = 2 hours 55 minutes are unusually precise practice times that would not realistically be measured or expressed as improper fractions in real piano practice scenarios.</t>
  </si>
  <si>
    <t>Answerability: The problem contains illogical mathematical relationships. When Sarah swims 100 times faster, her lap time should decrease to 0.875/100 = 0.00875 seconds, not increase to 87.5 seconds. Swimming faster means taking less time per lap, not more time. Real-world feasibility: A lap time of 0.875 seconds is physically impossible for human swimming - this would mean covering a pool length in less than 1 second. Additionally, the mathematical relationship between speed and time is incorrectly represented. Clarity: The phrase swam 100 times faster is ambiguous and mathematically inconsistent with the calculation shown, creating confusion about whether this refers to speed or pace multiplication.</t>
  </si>
  <si>
    <t>Primary KC requires multiplying decimals by 10, 100, 1000 and their multiples, but problem uses 20, 30, 40 which are not multiples of these numbers.</t>
  </si>
  <si>
    <t>Answerability: The problem states that each time can be obtained by dividing the same number by different powers of 10, but 23450, 23450, and 23450 are not the same number when we work backwards from the given times. Primary KC Alignment: The problem requires working backwards from division results to find the original number, which is inverse operation/multiplication rather than division by powers of 10. Grade Alignment: Ben's time of 234.50 seconds (nearly 4 minutes) for 100m freestyle is unrealistic and may confuse Primary 5 students about reasonable swimming times. Real-world feasibility: Swimming times of 234.50 seconds and 2345.0 seconds for 100m freestyle are completely unrealistic - world records are around 46-47 seconds. Synergy: The two knowledge components are used separately rather than in tandem - part (a) uses reverse thinking about division, part (b) uses ordering, but they don't build on each other meaningfully.</t>
  </si>
  <si>
    <t>Primary KC requires dividing decimals by 10, 100, 1000 and their multiples, but the problem requires dividing by 5, which is not a multiple of these numbers. The calculations needed are 28.750 / 5 and 26.425 / 5.</t>
  </si>
  <si>
    <t>Secondary KC Alignment: The problem does not require conversion from larger unit in decimal form to smaller unit. The distance 2.4 kilometers is already given and used directly without any unit conversion needed. Synergy: Since the secondary knowledge component is not actually required, there is no synergy between primary and secondary knowledge components. The problem can be solved using only rate calculation: 12.50 × 2.4 = 30.00.</t>
  </si>
  <si>
    <t>Answerability: Given amounts 4/5 L strawberry and 3/10 L mango do not maintain the specified ratio 2/3:1/2:5/6, creating conflicting information. Secondary KC Alignment: Solution requires ratio calculations and multiplication/division, not adding fractions. Synergy: Since adding fractions is not needed, the two knowledge components do not work together. Grade Alignment: Complex fraction ratios appear too advanced for Secondary O-level 1 students.</t>
  </si>
  <si>
    <t>Grade alignment issue: The problem requires advanced ratio concepts with fractions (3/4 : 1/2) and multi-step fraction operations that are typically covered in higher secondary grades, not O-level 1. O-level 1 students typically work with simpler whole number ratios like 2:3 rather than complex fractional ratios requiring division of fractions.</t>
  </si>
  <si>
    <t>Grade alignment fails - this problem involving basic fraction ratios (3/4 : 1 1/2 : 5/6) is more suitable for Primary 5-6 level in Singapore math syllabus, not Secondary O-level 1 which would handle more complex algebraic ratios and advanced fraction operations.</t>
  </si>
  <si>
    <t>Grade Alignment: This problem involves basic decimal addition (12.5 + 6.25 = 18.75, 8.75 + 4.5 = 13.25) and simple ratio concepts (18.75:13.25 = 3:2.12 approximately or 75:53 in whole numbers). These are Primary 5-6 level skills, not Secondary O-level 1 which should involve more complex mathematical concepts like algebraic ratios, advanced fraction manipulation, or multi-step ratio problems.</t>
  </si>
  <si>
    <t>Answerability: The problem contains illogical information as basketball free throws are counted in whole numbers, not decimals like 12.5 or 8.4 successful throws. Real-World Plausibility: It is unrealistic to have fractional successful free throws in basketball - you cannot make half a shot or 0.5 of a successful throw.</t>
  </si>
  <si>
    <t>Grade Alignment: This problem is too simple for Secondary O-level 1 students. Finding 70/84 as a percentage and converting to a fraction requires only basic percentage concepts and fraction simplification skills typically mastered in upper primary grades (Primary 5-6). Secondary O-level 1 students would be expected to handle more complex percentage problems involving compound calculations, multi-step applications, or advanced algebraic concepts.</t>
  </si>
  <si>
    <t>Grade Alignment: The problem involves basic percentage increase (15%) and simple addition, which are typically mastered in primary grades. For Secondary O-level 1 students, this problem would be too elementary and does not match the expected difficulty level for that grade.</t>
  </si>
  <si>
    <t>Grade Alignment: The problem involves basic percentage increase (25%) and simple multiplication, which are typically mastered in Primary 6. For Secondary O-level 1 students, this problem would be too elementary and does not match the expected difficulty level for that grade.</t>
  </si>
  <si>
    <t>Grade Alignment: The problem involves basic percentage to fraction conversion (25% = 1/4) and simple reverse percentage calculation suitable for primary level (P5-P6). Secondary O-level 1 students require more complex percentage applications beyond converting 25% to 1/4.</t>
  </si>
  <si>
    <t>Grade alignment: Quadratic expressions 2n^2 + 3n - 5 are too advanced for Secondary O-level 1 students who typically learn linear expressions first. Real-world feasibility: When n=1, the expression gives 2(1)^2 + 3(1) - 5 = 0 successful free throws, which is unrealistic for a practicing basketball player.</t>
  </si>
  <si>
    <t>Grade Alignment: This problem is too advanced for Secondary O-level 1 students. Finding algebraic expressions for nth terms of sequences and solving inequalities algebraically are typically covered in higher secondary levels. The mathematical complexity exceeds what is appropriate for beginning secondary students.</t>
  </si>
  <si>
    <t>Grade Alignment: The problem involves direct proportion concepts which are typically taught at higher secondary levels, but Secondary O-level 2 students would typically be around 14-15 years old and may not have been formally introduced to direct proportion concepts yet. The complexity of maintaining ratios while calculating proportional relationships may be above the expected mathematical maturity for this grade level.</t>
  </si>
  <si>
    <t>Grade alignment issue: Secondary O-level 2 students are typically 14-15 years old in grade 8-9. This problem requires setting up and solving linear inequalities from word problems, which is typically introduced in grades 6-7 (ages 11-13) and is below the expected difficulty level for Secondary O-level 2 students who should be working with more advanced algebraic concepts like quadratic equations, simultaneous equations, or complex algebraic manipulations.</t>
  </si>
  <si>
    <t>Grade alignment fails because solving quadratic equations is typically Secondary 3 content in Singapore math curriculum, not Secondary 2. Secondary 2 students have not yet learned quadratic formula or advanced factorization techniques needed for equations like -5t^2 + 6t + 2.1 = 0.</t>
  </si>
  <si>
    <t>Grade alignment fails because finding median and range are basic statistical concepts typically taught at primary or lower secondary levels (Grade 6-8), not at Secondary O-level 2 which would expect more advanced statistical analysis like standard deviation, quartiles, or hypothesis testing.</t>
  </si>
  <si>
    <t>Grade alignment issue: Secondary O-level 3/4 is not a standard Singapore grade designation. Singapore uses Primary 1-6 and Secondary 1-4/5 systems. O-levels are typically Secondary 4/5 level.</t>
  </si>
  <si>
    <t>Answerability: Question (c) asks for total bonus points for tennis players in Week 1, but tennis is in row 3 of matrix A with values 6, 10, 8. After scalar multiplication by 3, we get 18, 30, 24. The question is ambiguous - unclear if it wants sum of all tennis bonus points (18+30+24=72) or individual values for each time slot. Grade Alignment: This problem requires advanced matrix operations knowledge typically taught at A-level or early university mathematics, which exceeds Secondary O-level 3/4 expectations.</t>
  </si>
  <si>
    <t>Grade alignment fails because matrix operations are not part of Singapore O-level Secondary 3/4 mathematics curriculum. Matrix operations are typically introduced at Pre-University A-level. The O-level syllabus covers algebra, geometry, trigonometry, and statistics but not matrix arithmetic.</t>
  </si>
  <si>
    <t>Grade Alignment: The problem requires addition of probabilities using P(A or B) = P(A) + P(B) - P(A and B), which involves understanding of compound probability events and the inclusion-exclusion principle. This concept is typically taught at higher secondary levels or pre-university mathematics, not at O-level 3/4 where students are still learning basic probability concepts of single events.</t>
  </si>
  <si>
    <t>Grade alignment: The problem involves complex probability concepts including multiplication of probabilities for independent events and calculation of complementary probabilities for exactly one success. These concepts are typically covered at upper secondary or pre-university level, not at Secondary O-level 3/4 where basic probability concepts are introduced.</t>
  </si>
  <si>
    <t>Grade alignment: 4-digit addition (1245+876, 987+1298, 1156+945) may be too advanced for Primary 3 students who typically work with 3-digit whole number operations in Singapore math curriculum.</t>
  </si>
  <si>
    <t>Primary KC alignment: The problem requires multiplying 3-digit numbers (126, 148, 235) by 1-digit numbers (4, 3, 2), but the intended primary KC is multiplying whole numbers UP TO 3 digits by 1 digit, which typically means the multiplicand should be at most 3 digits. However, 126x4=504, 148x3=444, and 235x2=470 are all reasonable calculations, but 235 is a 3-digit number being multiplied, which pushes the boundary. More critically, this level of multiplication may be too advanced for the stated Primary KC scope. Grade alignment: For Primary 3 students, multiplying 3-digit numbers like 126x4, 148x3, and 235x2 is typically too advanced. Primary 3 students usually work with simpler multiplication problems involving smaller numbers.</t>
  </si>
  <si>
    <t>Questions (a) and (b) ask for totals when only single fractions are given for each activity - Sarah completed 2/3 of painting and 1/4 of music, but questions ask for totals implying addition is needed when none exists. Primary KC requires adding unlike fractions but the problem structure does not necessitate fraction addition since each person has single values per activity type. The primary and secondary knowledge components cannot work in tandem as intended because the fraction addition component is not properly integrated into the problem structure.</t>
  </si>
  <si>
    <t>Primary KC alignment: Problem involves adding decimals with 3 decimal places (1.142) which exceeds the intended scope of up to 2 decimal places. Synergy: The two tasks (addition and comparison) are somewhat independent rather than truly integrated. Grade alignment: Using 3 decimal places (1.142) may be beyond Primary 4 level which typically focuses on 1-2 decimal places.</t>
  </si>
  <si>
    <t>The Tuesday practice time of 1.50 hours is mentioned but not needed for solving the problem, violating the requirement that all given numbers must be necessary.</t>
  </si>
  <si>
    <t>answerability: The problem asks for 'total distance Sarah swam per lap over the two days' which is ambiguous. It could mean (1) distance per lap on each day then sum them, or (2) total distance over both days divided by total number of laps. The wording creates confusion about whether the answer should be 1.56 + 1.75 = 3.31 km or (4.68 + 5.24) / 6 = 1.65 km. clarity: The question 'What is the total distance Sarah swam per lap over the two days?' is unclear and can be interpreted in multiple ways, making it difficult for students to understand what exactly is being asked.</t>
  </si>
  <si>
    <t>Primary KC alignment fails because the problem only requires adding fractions (7/4 + 5/3, 9/5 + 8/7, then adding results) but the intended Primary KC is multiplying two improper fractions, which is not needed at all. Synergy fails because without the Primary KC being used, there is no synergy between Primary and Secondary KCs - only the Secondary KC (fraction addition) is used throughout the problem.</t>
  </si>
  <si>
    <t>Primary KC alignment: The problem's main difficulty involves fraction addition/subtraction rather than multiplication of improper fractions. While multiplication occurs in the solution (23/12 * 3/2), it is not the primary focus. Synergy: Since the primary KC is not properly aligned, the intended synergy between multiplication and subtraction of fractions is not achieved as designed.</t>
  </si>
  <si>
    <t>Secondary KC Alignment: The problem requires subtracting whole numbers (22 - 19 = 3), not subtracting fractions as specified in the intended Secondary Knowledge Component. Synergy: Since the secondary KC (subtracting fractions) is not actually needed, the primary and secondary KCs are not used in tandem as required.</t>
  </si>
  <si>
    <t>Primary KC alignment fails because the problem requires general decimal multiplication (0.875 × 300) rather than the intended specific skill of multiplying decimals by 10, 100, 1000 and their multiples. Synergy fails because the two knowledge components are used sequentially rather than in integrated tandem - first multiply decimals, then convert to fraction, without the components enhancing each other's application.</t>
  </si>
  <si>
    <t>Primary KC requires multiplying decimals by 10, 100, 1000 and their multiples, but the problem uses 0.125 * 400 which is general decimal multiplication, not specifically by powers of 10 or their multiples.</t>
  </si>
  <si>
    <t>Primary KC alignment fails because the problem requires dividing by 7, which is not a multiple of 10, 100, or 1000 as specified in the intended primary knowledge component. Synergy fails because the primary KC is not properly aligned, preventing the intended tandem use of both knowledge components.</t>
  </si>
  <si>
    <t>Answerability: Swimming 40000 meters in practice is unrealistic and creates conflicting scenario. Real-world feasibility: 40 kilometers swimming in single practice session is completely implausible. Clarity: Relationship between 4 laps and 40000 total meters with division by 400 is confusing.</t>
  </si>
  <si>
    <t>Real-world feasibility: Sarah's running speed of 1.25 km/hr is unrealistic for marathon training. Average walking speed is 5 km/hr and marathon runners train at 10-15 km/hr. A speed of 1.25 km/hr would be extremely slow walking pace, not suitable for marathon preparation.</t>
  </si>
  <si>
    <t>Real-world feasibility fails because dividing practice time over 2/3 of a week (4.67 days) is unrealistic - people typically plan practice schedules over whole days, not fractional portions of days.</t>
  </si>
  <si>
    <t>The problem is missing critical information - Sarah's total practice time for today. Without knowing the total practice time, it is impossible to calculate how many complete sessions she has finished. The problem states she completed 3/4 of her total practice time and each session is 2/5 hour, but the total practice time value is needed to solve (3/4 * total time) / (2/5 hour per session).</t>
  </si>
  <si>
    <t>Secondary KC alignment: The problem does not require addition of whole numbers as the point totals are given directly (45, 36, 54). No addition operations are needed to solve for the ratio. Synergy: Since addition is not required, there is no synergy between finding ratios and adding whole numbers.</t>
  </si>
  <si>
    <t>Grade alignment fails because solving linear equations with variables like 4x + 5 = 89 is typically taught in Secondary 1, not Primary 6. Primary 6 students work with simpler algebraic concepts without formal equation solving.</t>
  </si>
  <si>
    <t>Grade alignment issue: This problem involves basic percentage calculations (25%, 15%) and simple whole number operations that are typically mastered in Primary 5-6. For Secondary O-level 1 students, this represents content significantly below their expected mathematical level, making it inappropriately easy for the intended grade.</t>
  </si>
  <si>
    <t>Grade Alignment: The problem involves reverse percentages and percentage-to-decimal conversion, which are typically taught in Primary 5-6 levels. Secondary O-level 1 students would be expected to work on more advanced mathematical concepts appropriate for their grade level.</t>
  </si>
  <si>
    <t>Grade alignment: Problem involves basic ratio 3:5 and simple multiplication by 4, concepts typically mastered in Primary 5-6. Secondary O-level 2 students need more complex algebraic reasoning, simultaneous equations, or advanced proportional problems.</t>
  </si>
  <si>
    <t>Grade Alignment: Standard deviation calculation is typically taught at upper secondary or pre-university level (Secondary 4/5 or A-levels), not at Secondary O-level 3/4. This mathematical concept requires understanding of variance, square roots of sums of squared deviations, and statistical analysis that exceeds the typical curriculum for O-level 3/4 students.</t>
  </si>
  <si>
    <t>Secondary KC alignment fails because the third question asks for total students participating which is given as 847 - no addition calculation needed. Synergy fails because addition is not required so primary and secondary KCs do not work together.</t>
  </si>
  <si>
    <t>Primary KC alignment fails because the division required is 816 / 6 which involves dividing a 3-digit number by 1-digit, but 816 exceeds typical 3-digit scope for Primary 3. Grade alignment fails because Primary 3 students typically work with smaller numbers - dividing 816 by 6 requiring knowledge of 6x136=816 is too advanced for Primary 3 level.</t>
  </si>
  <si>
    <t>Secondary KC Alignment: The intended secondary knowledge component is multiplication of whole numbers, but the problem only requires division operations (432/6=72, then 72/4=18). No multiplication is needed to solve either question. Synergy: Since multiplication is not actually required, there is no synergy between the intended primary KC (division) and secondary KC (multiplication). Both questions only use division, so the knowledge components are not used in tandem as intended.</t>
  </si>
  <si>
    <t>Grade Alignment: The problem requires operations with fractions having denominators 8, 4, and 12, requiring finding common denominators (LCD of 24) and complex fraction arithmetic that exceeds Primary 3 level capabilities. Primary 3 students typically work with simpler fractions like halves, quarters, and basic unit fractions.</t>
  </si>
  <si>
    <t>Real-world feasibility fails because bringing 2856, 1944, and 3528 students from individual primary schools to a badminton tournament is unrealistic. Primary schools typically have 200-800 total students, and bringing thousands of students to watch a tournament would be logistically impossible and unsafe.</t>
  </si>
  <si>
    <t>Secondary KC alignment: The problem asks to express answer as mixed number, but the intended secondary KC is converting decimals to fractions, not mixed numbers. The solution involves adding decimals (2.75 + 1.8 + 3.25 = 7.8) then converting 7.8 to mixed number 7 4/5, but this requires fraction conversion skills beyond the stated secondary KC. Synergy: Since secondary KC alignment fails, primary and secondary KCs cannot work in tandem as intended. The problem becomes primarily about decimal addition with mixed number conversion rather than decimal to fraction conversion.</t>
  </si>
  <si>
    <t>Primary KC alignment: The problem requires adding 3.126 km which has 3 decimal places, but the intended primary KC is limited to adding decimals up to 2 decimal places only. Grade alignment: Primary 4 students typically work with decimals up to 2 decimal places, but this problem includes 3.126 km which has 3 decimal places, making it too advanced for the intended grade level.</t>
  </si>
  <si>
    <t>Secondary KC alignment fails because the problem directly states Sarah had 8.91 left rather than requiring subtraction calculation (12.48 + 2.76 from original allowance). Synergy fails because the secondary KC (subtracting decimals) is not actually needed to solve the problem, so the two knowledge components are not used in tandem.</t>
  </si>
  <si>
    <t>Answerability: The problem has a logical flaw - both Sarah (2 3/4 × 8 = 22) and Emma (1 5/6 × 12 = 22) practiced exactly the same total hours, making the question 'who practiced more and by how much' unanswerable as neither practiced more. Secondary KC Alignment: While the problem requires multiplication of mixed numbers and whole numbers (primary KC), it does not require comparing/ordering fractions (secondary KC) since students only need to compare the final whole number results (22 vs 22), not fractional values. Synergy: Since the secondary KC (fraction comparison) is not actually needed, the two knowledge components do not work in tandem to solve the problem.</t>
  </si>
  <si>
    <t>Secondary KC alignment: The calculation 2+1/4 * 6 = 54/4 = 13+1/2 results in 13+1/2 which is already in simplest form, so no actual simplification is needed. Synergy: Since the secondary knowledge component of simplifying fractions is not actually required to solve the problem, the two knowledge components do not work in tandem.</t>
  </si>
  <si>
    <t>Primary KC alignment fails because the problem requires multiplying 23.456 x 30, which is multiplying a decimal by a whole number that is not 10, 100, 1000 or their multiples. The intended Primary KC specifically targets multiplying decimals by 10, 100, 1000 and their multiples only.</t>
  </si>
  <si>
    <t>Primary KC alignment fails because the problem requires dividing 142.8 by 60, but the intended primary KC is about dividing decimals by 10, 100, 1000 and their multiples. 60 is not a multiple of 10, 100, or 1000.</t>
  </si>
  <si>
    <t>Real-world feasibility issue: The calculated rate is 50 meters per lap, which means each lap of the pool is 50 meters long. This is unusually long for a typical swimming pool - standard pools are 25m or 50m in total length, not per lap. A lap typically refers to swimming from one end to the other and back (or just one way), so 50m per lap suggests a 100m pool or 25m one-way laps, both of which are unrealistic for typical training scenarios.</t>
  </si>
  <si>
    <t>Primary KC: Decimal multiplication 1.25 * 48 too advanced for Primary 5. Secondary KC: Problem converts km to m (larger to smaller unit) but intended KC is smaller to larger unit conversion. Grade alignment: 1.25 * 48 calculation exceeds Primary 5 level. Real-world: 1.25 km/min = 75 km/h unrealistic for human running speed.</t>
  </si>
  <si>
    <t>Secondary KC alignment: The problem does not require converting measurements from larger to smaller units - both rate and time use minutes as the unit. Synergy: Since the secondary KC is not present in the problem, there is no synergy between primary and secondary knowledge components.</t>
  </si>
  <si>
    <t>Answerability: Tuesday calculation gives 11/6 divided by 2/9 equals 33/4 = 8.25 sessions, which is not a whole number. Cannot have fractional practice sessions. Real-world feasibility: Same issue - the mathematical result of 8.25 sessions does not represent a realistic scenario since practice sessions must be complete units.</t>
  </si>
  <si>
    <t>Secondary KC alignment: The answer is 6, a whole number, so simplifying fractions is not needed. Synergy: Since secondary KC is not required, there is no synergy between primary and secondary components.</t>
  </si>
  <si>
    <t>Real-world feasibility: The problem states opponents scored 47 points in second half only, but typical basketball games have 15-20 minute halves where scoring 47 points in one half is unrealistically high for most levels of play. Clarity: The problem is ambiguous - it asks for second half score but the given information (23 fewer than total) relates to total game score, creating confusion about whether opponents scored 47 total or 47 in second half only.</t>
  </si>
  <si>
    <t>ANSWERABILITY: The problem asks to find percentage decrease but the actual answer is 0% change (70% to 70% accuracy). This creates a logical contradiction as there is no decrease to find. CLARITY: The problem is misleading by asking students to find a decrease when no decrease exists, causing confusion about what answer is expected.</t>
  </si>
  <si>
    <t>SYNERGY: The two questions can be solved independently. Question 1 uses multiplication (63-45) * 3 = 54, Question 2 uses percentage increase ((63-45)/45) * 100 = 40%. Neither question requires the result from the other question. CONCISENESS_AND_RELEVANCE: The points information (3 points per free throw) is only needed for question 1 but not for question 2. The free throw data (45 and 63) is only needed for question 2 but the points calculation in question 1 could be solved with just the difference. Some given information is not necessary for all parts of the problem.</t>
  </si>
  <si>
    <t>Grade Alignment: The problem difficulty level (involving basic fraction subtraction like 3/4 - 1/6 and simple ratios) is more suitable for Primary 5-6 students in Singapore math curriculum, not Secondary O-level 1 students who should handle more advanced mathematical concepts.</t>
  </si>
  <si>
    <t>Grade alignment fails because this problem is too simple for Secondary O-level 1 students. The intended grade typically handles advanced algebra, trigonometry, and complex mathematical concepts, while this problem only requires basic fraction operations and ratios suitable for upper primary or lower secondary levels. The mathematical complexity (multiplying fractions by whole numbers, simple division, basic ratios) does not match the expected difficulty for O-level students.</t>
  </si>
  <si>
    <t>Grade Alignment: The problem requires converting decimal ratios 19.4:13.2:25.8 to simplest integer form 97:66:129, which involves complex ratio simplification beyond typical Secondary O-level 1 curriculum. This level of ratio manipulation is too advanced for the intended grade.</t>
  </si>
  <si>
    <t>Grade Alignment: The problem involves basic percentage calculations (24/40, 18/30) and simple decimal conversions which are elementary level concepts, not appropriate for Secondary O-level 1 students who should be working with more advanced mathematical concepts.</t>
  </si>
  <si>
    <t>Grade alignment issue: This problem involves basic percentage calculations (25% increase) and simple division (480/12) which are typically covered in Primary 5-6 grades, not Secondary O-level 1. Secondary O-level 1 students would be expected to handle more complex mathematical concepts beyond basic percentage increases and whole number division.</t>
  </si>
  <si>
    <t>Primary KC alignment: The problem can be solved using simple proportional reasoning without requiring fractional equations or algebraic solving. If 2/3 distance takes 24 minutes, then full distance takes 36 minutes at constant speed. To complete in 30 minutes requires speed increase of 36/30 = 6/5. In first 12 minutes at new speed, distance = (1/5) * (6/5) * full distance = 2/5 of planned distance. No fractional equations needed. Secondary KC alignment: Problem does not require translation to equations - can be solved through direct proportional relationships and arithmetic without algebraic representation. Synergy: Since neither primary nor secondary KC are properly addressed, they are not used in tandem as intended. Grade alignment: This proportional reasoning problem is more suitable for upper primary or lower secondary levels, not O-level 1 which should involve more complex algebraic concepts including fractional equations.</t>
  </si>
  <si>
    <t>Grade alignment: This problem involves inverse proportion concepts which are typically taught at higher secondary levels (O-level 3-4 or A-level), not at Secondary O-level 2. The complexity of inverse proportion relationships and the mathematical reasoning required exceed what is typically expected for O-level 2 students.</t>
  </si>
  <si>
    <t>Grade alignment issue: The problem involves basic inverse proportion and simple division which are too elementary for Secondary O-level 2 students who are typically in grade 11. Students at this level should be working with more advanced mathematical concepts.</t>
  </si>
  <si>
    <t>Grade Alignment: The problem requires solving systems of linear equations in two variables, which is typically taught at Secondary 3-4 level, not Secondary 2. Secondary 2 students usually work with single-variable linear equations only.</t>
  </si>
  <si>
    <t>Grade alignment: This problem is too simple for Secondary O-level 2 students. Finding median and mode are basic statistical concepts typically taught in primary or lower secondary levels. Secondary O-level 2 students would be expected to handle more advanced statistical concepts like standard deviation, probability distributions, or complex data analysis.</t>
  </si>
  <si>
    <t>Grade Alignment: The problem is designed for Secondary O-level 2 but finding percentiles is typically introduced at higher secondary levels (O-level 3 or 4) in Singapore math curriculum. The complexity of percentile calculations exceeds the expected mathematical knowledge for Secondary O-level 2 students.</t>
  </si>
  <si>
    <t>Answerability: Problem has conflicting information about starting score of 3 vs first round score of 3^4, creating ambiguity. Real-world feasibility: Gaming scoring system where scores are multiplied by 3^6 points or divided by 3^2 points is unrealistic and confusing. Clarity: Unclear whether initial base score of 3 should be included in calculations, and phrase multiplied by 3^6 points is mathematically ambiguous.</t>
  </si>
  <si>
    <t>Answerability: At 16 meters, intensity = I0 * 2^(-8), but using pattern I0 * 2^(-2x) gives I0 * 2^(-32) when x=16, creating mathematical inconsistency. Real-world feasibility: Sound intensity follows inverse square law (proportional to 1/r^2), not exponential decay with base 2, making the physical scenario unrealistic.</t>
  </si>
  <si>
    <t>The problem uses advanced set notation like |B ∪ S| and formal mathematical symbols that are typically taught at higher levels than O-level Secondary 3/4. The complexity of formal set operations and inclusion-exclusion principle exceeds the mathematical sophistication expected at this grade level.</t>
  </si>
  <si>
    <t>Grade Alignment: The problem involves matrix operations (matrix subtraction and scalar multiplication) which are typically taught at Secondary 4/5 or Junior College level in Singapore curriculum, not at Primary level. Matrix operations are beyond the mathematical scope of Primary students.</t>
  </si>
  <si>
    <t>Answerability: The problem lacks clarity on what constitutes the final answer - it asks for total weighted score but does not specify if this means summing all elements of the resulting matrix or providing the matrix itself. The calculation steps are clear (subtract matrices then multiply) but the final expected output format is ambiguous. Clarity: The problem statement is confusing regarding the final calculation requirement. The phrase total weighted score for actual participants could mean either the sum of all matrix elements after calculation or the resulting matrix itself. Additionally, the connection between rounds/categories in R and W matrices versus the Strategy Games/Action Games distinction in matrix S needs clearer explanation of how they correspond.</t>
  </si>
  <si>
    <t>Grade Alignment: The problem is designed for Secondary O-level 3/4 but the knowledge components (multiplication of probabilities and probability of single events) are typically introduced at Primary 5/6 level in Singapore math syllabus. This problem is too simple for Secondary O-level 3/4 students who would be expected to handle more complex probability concepts like conditional probability, permutations, combinations, or probability distributions.</t>
  </si>
  <si>
    <t>Real-world feasibility: 125 players per basketball team is unrealistic. School basketball teams typically have 10-15 players, not 125.</t>
  </si>
  <si>
    <t>Secondary KC alignment: The calculation 5/6 - 1/6 = 4/6 = 2/3 already results in the simplest form naturally, so the Secondary Knowledge Component of simplifying fractions is not actually needed to solve this problem. Synergy: Since the Secondary Knowledge Component is not required, there is no synergy between the Primary and Secondary Knowledge Components.</t>
  </si>
  <si>
    <t>Primary KC alignment: Problem only requires subtraction (2340 - 156 = 2184), no multiplication needed despite intended primary KC being multiplication. Synergy: No synergy between primary and secondary KC since multiplication is not actually used in solution. Conciseness: Information about packing into boxes of 24 tennis balls is irrelevant to solving the question asked.</t>
  </si>
  <si>
    <t>Secondary KC alignment: The problem requires multiplication (406 x 3 = 1218) to find the total certificate cost, not addition of whole numbers as specified. Synergy: Since the secondary KC (addition) is not actually used in the solution, there is no synergy between division and addition - the problem uses division and multiplication instead.</t>
  </si>
  <si>
    <t>clarity: There is a duplicate 'clarity' key in the evaluation criteria which creates ambiguity in the evaluation structure.</t>
  </si>
  <si>
    <t>Primary KC specifies multiplying decimals up to 2 decimal places, but 2.406 has 3 decimal places, exceeding the intended scope.</t>
  </si>
  <si>
    <t>Answerability: The concept of using 5/3 or 4/3 of energy level is illogical - one cannot use more than 100% of their energy level, making the problem unsolvable in a realistic context. Real-world feasibility: It is impossible for someone to use more than their total energy level (133% and 133% respectively), which violates physical reality. Clarity: The term energy-hours as a unit is ambiguous and not clearly defined, and the concept of using more than 100% of energy level creates confusion about what is being measured.</t>
  </si>
  <si>
    <t>Real-world feasibility: Practicing piano for 5/3 hours (1 hour 40 minutes) on Monday is reasonable, but practicing 7/4 times as long on Tuesday would result in 35/12 hours (approximately 2 hours 55 minutes). While possible, it is uncommon for students to practice piano for nearly 3 hours in a single day, especially when increasing practice time so significantly from one day to the next.</t>
  </si>
  <si>
    <t>Answerability: The problem contains illogical relationships - swimming 100 times faster should result in shorter lap times, not longer ones. If Monday lap time was 0.875 seconds, swimming faster should decrease the time, not multiply it. Real-world feasibility: The scenario is unrealistic - a 0.875 second lap time is impossibly fast for swimming, and the mathematical operations described contradict how speed and time relate in swimming. Clarity: The problem is confusing because it describes swimming faster but shows lap times getting longer, which is contradictory and ambiguous.</t>
  </si>
  <si>
    <t>Answerability: The problem states each time can be obtained by dividing the same number by different powers of 10, but 23450 / 1000 = 23.45 not 23.450, 23450 / 100 = 234.5 not 234.50, creating mathematical inconsistency. Primary KC Alignment: The problem requires working backwards from given decimals to find an original number, which is multiplication by powers of 10, not division by powers of 10 as intended. Grade Alignment: Ben's time of 234.50 seconds = 3 minutes 54.5 seconds and Chris's time of 2345.0 seconds = 39 minutes 5 seconds are unrealistic for 100m freestyle, requiring mathematical understanding beyond typical Primary 5 real-world contexts. Real World Feasibility: Swimming times of 234.50 seconds and 2345.0 seconds for 100m freestyle are completely unrealistic - world records are around 47 seconds. Synergy: The two knowledge components are used separately in different parts rather than in tandem to solve connected problems.</t>
  </si>
  <si>
    <t>Primary KC requires dividing by 10, 100, 1000 and their multiples, but problem requires dividing by 5 which is not a multiple of these numbers. This makes the division more complex than intended.</t>
  </si>
  <si>
    <t>Secondary KC Alignment: The problem does not require converting measurements from larger units in decimal form to smaller units. The distance 2.4 kilometers is already given and used directly without any unit conversion. Synergy: Since the secondary knowledge component is not present, there is no synergy between primary and secondary knowledge components. The problem only requires rate calculation (12.50 * 2.4 = 30.00) without unit conversion.</t>
  </si>
  <si>
    <t>Primary KC alignment fails: The intended primary KC is dividing a whole number/proper fraction by a proper fraction, but the actual division required is (5/4) / 4, which is an improper fraction divided by a whole number, not the intended operation type.</t>
  </si>
  <si>
    <t>Answerability: The given quantities 4/5 L strawberry juice and 3/10 L mango juice do not maintain the specified ratio 2/3:1/2:5/6, creating conflicting information that makes the problem unsolvable. Secondary KC Alignment: Adding fractions is not a primary requirement for solving this ratio problem. Synergy: The primary and secondary knowledge components do not work effectively together since fraction addition is not essential for the solution.</t>
  </si>
  <si>
    <t>Grade Alignment: The problem involves ratios with fractions which is typically taught at Primary 5-6 level in Singapore curriculum, making it too elementary for Secondary O-level 1 students. The intended grade level is significantly higher than what the mathematical content requires.</t>
  </si>
  <si>
    <t>Grade Alignment: The problem involves complex fractional ratio operations (3/4 : 1+1/2 : 5/6) requiring common denominators, conversion to integers, and GCD calculation. This complexity level appears more suitable for lower secondary grades rather than Secondary O-level 1 which typically indicates upper secondary level.</t>
  </si>
  <si>
    <t>Primary KC alignment: Problem focuses on ratio simplification with whole numbers (1875:1325) rather than ratios involving decimals as the main challenge. Grade alignment: Simplifying ratio 1875:1325 requires finding GCD of large numbers, too advanced for Secondary O-level 1.</t>
  </si>
  <si>
    <t>Answerability: Basketball free throws are discrete events that cannot result in fractional numbers like 12.5 or 8.4 successful throws - you either make a shot or miss it completely. Real-world feasibility: The scenario describes fractional successful free throws which is impossible in basketball where each attempt results in either success (1) or failure (0), making fractional successes like 12.5 or 8.4 unrealistic.</t>
  </si>
  <si>
    <t>Grade alignment: Converting 70/84 to percentage then to simplest fraction form requires mathematical skills beyond Secondary O-level 1. The calculation involves 70/84 = 5/6 = 83.33% = 5/6, requiring fraction simplification and percentage-fraction conversion skills typically taught at higher secondary levels.</t>
  </si>
  <si>
    <t>Grade alignment issue: This problem involves basic percentage calculations (15% increase) and whole number addition, which are typically mastered in primary/middle school (grades 6-8). Secondary O-level 1 students (approximately grade 9-10) would find this problem too elementary as they should be working with more advanced mathematical concepts like algebra, geometry, or complex percentage applications in real-world contexts.</t>
  </si>
  <si>
    <t>Grade alignment issue: The problem involves basic percentage increase (25%) and simple multiplication, which are typically taught at Primary 5-6 level. For Secondary O-level 1 students, this problem is too elementary and does not match the expected difficulty level for that grade.</t>
  </si>
  <si>
    <t>Grade Alignment: The problem involves basic percentage concepts (25% = 1/4, reverse percentages with simple numbers) that are typically taught in Primary 5-6. For Secondary O-level 1 students, this problem would be too elementary and does not match the expected difficulty level for that grade.</t>
  </si>
  <si>
    <t>Grade alignment: Quadratic expressions are typically taught in Secondary 2-3, not O-level 1 where linear expressions are the focus. Real-world feasibility: The expression gives 0 successful throws on day 1 which is unrealistic for a practicing player, and the quadratic growth pattern does not reflect realistic basketball skill improvement.</t>
  </si>
  <si>
    <t>Grade Alignment: This problem is too advanced for Secondary O-level 1 students. Finding algebraic expressions for nth terms of sequences and solving inequalities with algebraic expressions are typically covered in higher secondary levels (O-level 2 or 3). The complexity of deriving d_n = 3n + 12 and solving 3n + 12 &gt; 40 exceeds the expected mathematical sophistication of first-year secondary students.</t>
  </si>
  <si>
    <t>Grade Alignment: The problem is too advanced for Secondary O-level 2 students. Direct proportion concepts involving ratios and complex multi-step word problems requiring analysis of shooting accuracy rates are typically introduced at higher secondary levels (O-level 3-4). The mathematical complexity and abstract reasoning required exceed the typical curriculum expectations for O-level 2 students.</t>
  </si>
  <si>
    <t>Grade alignment issue: Solving quadratic equations typically introduced at Secondary 3/4 level in Singapore syllabus, not O-level 2. The mathematical complexity exceeds expected grade level capabilities.</t>
  </si>
  <si>
    <t>Synergy: The median and range are calculated independently without meaningful integration - the range result is not used in subsequent problem-solving steps. Grade Alignment: The mathematical concepts (basic median, range, simple multiplication) are too elementary for Secondary O-level 2 students who should be working with more advanced statistical analysis.</t>
  </si>
  <si>
    <t>grade_alignment: The problem requires calculation of mean deviation which is typically covered at upper secondary or pre-university level, beyond Secondary O-level 2 capability. Students at this grade would not have learned the statistical concept of mean deviation yet.</t>
  </si>
  <si>
    <t>Real-world feasibility: Gaming tournaments do not typically use scoring systems with negative indices (2^-2 points) as this would result in fractional scores like 0.25 points, which is unrealistic for actual tournament scoring. Real gaming systems use whole numbers or simple decimals, not mathematical expressions requiring laws of indices to calculate basic scores.</t>
  </si>
  <si>
    <t>Grade alignment fails - matrix operations are typically taught at Secondary 4 Additional Mathematics or Junior College level in Singapore, not at O-level 3/4 where curriculum focuses on basic algebra, geometry, and elementary statistics.</t>
  </si>
  <si>
    <t>Grade Alignment: The problem involves basic probability concepts like independent events and addition rule that are typically covered in Secondary 1-2, not O-level 3/4 which focuses on more advanced probability topics like conditional probability, permutations, combinations, and binomial distributions.</t>
  </si>
  <si>
    <t>Grade alignment issue: The problem involves compound probability calculations with fractions like 3/5 and probability distributions requiring multiplication and addition of multiple probability events. This level of complexity in probability theory is typically taught at Secondary 4/5 or higher levels, not Secondary 3/4 O-level. The computational demands and conceptual understanding required exceed typical Secondary 3/4 curriculum expectations.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</si>
</sst>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amily val="2"/>
      <charset val="163"/>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77"/>
  <sheetViews>
    <sheetView workbookViewId="0"/>
  </sheetViews>
  <sheetFormatPr defaultRowHeight="13.8" x14ac:dyDescent="0.25"/>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t="s">
        <v>16</v>
      </c>
      <c r="B2" t="s">
        <v>17</v>
      </c>
      <c r="C2">
        <v>0</v>
      </c>
      <c r="D2">
        <v>11.10575270652771</v>
      </c>
      <c r="E2">
        <v>1</v>
      </c>
      <c r="F2">
        <v>1</v>
      </c>
      <c r="G2">
        <v>1</v>
      </c>
      <c r="H2">
        <v>1</v>
      </c>
      <c r="I2">
        <v>1</v>
      </c>
      <c r="J2">
        <v>0</v>
      </c>
      <c r="K2">
        <v>1</v>
      </c>
      <c r="L2">
        <v>1</v>
      </c>
      <c r="M2">
        <v>1</v>
      </c>
      <c r="N2">
        <v>1</v>
      </c>
      <c r="O2">
        <v>1</v>
      </c>
      <c r="P2" t="s">
        <v>18</v>
      </c>
    </row>
    <row r="3" spans="1:16" x14ac:dyDescent="0.25">
      <c r="A3" t="s">
        <v>16</v>
      </c>
      <c r="B3" t="s">
        <v>19</v>
      </c>
      <c r="C3">
        <v>0</v>
      </c>
      <c r="D3">
        <v>9.6764731407165527</v>
      </c>
      <c r="E3">
        <v>1</v>
      </c>
      <c r="F3">
        <v>1</v>
      </c>
      <c r="G3">
        <v>1</v>
      </c>
      <c r="H3">
        <v>1</v>
      </c>
      <c r="I3">
        <v>1</v>
      </c>
      <c r="J3">
        <v>1</v>
      </c>
      <c r="K3">
        <v>1</v>
      </c>
      <c r="L3">
        <v>1</v>
      </c>
      <c r="M3">
        <v>1</v>
      </c>
      <c r="N3">
        <v>1</v>
      </c>
      <c r="O3">
        <v>1</v>
      </c>
    </row>
    <row r="4" spans="1:16" x14ac:dyDescent="0.25">
      <c r="A4" t="s">
        <v>16</v>
      </c>
      <c r="B4" t="s">
        <v>20</v>
      </c>
      <c r="C4">
        <v>0</v>
      </c>
      <c r="D4">
        <v>2.970257043838501</v>
      </c>
      <c r="E4">
        <v>1</v>
      </c>
      <c r="F4">
        <v>1</v>
      </c>
      <c r="G4">
        <v>1</v>
      </c>
      <c r="H4">
        <v>1</v>
      </c>
      <c r="I4">
        <v>1</v>
      </c>
      <c r="J4">
        <v>1</v>
      </c>
      <c r="K4">
        <v>1</v>
      </c>
      <c r="L4">
        <v>1</v>
      </c>
      <c r="M4">
        <v>1</v>
      </c>
      <c r="N4">
        <v>1</v>
      </c>
      <c r="O4">
        <v>1</v>
      </c>
    </row>
    <row r="5" spans="1:16" x14ac:dyDescent="0.25">
      <c r="A5" t="s">
        <v>16</v>
      </c>
      <c r="B5" t="s">
        <v>21</v>
      </c>
      <c r="C5">
        <v>0</v>
      </c>
      <c r="D5">
        <v>8.1421077251434326</v>
      </c>
      <c r="E5">
        <v>1</v>
      </c>
      <c r="F5">
        <v>0</v>
      </c>
      <c r="G5">
        <v>1</v>
      </c>
      <c r="H5" t="s">
        <v>22</v>
      </c>
      <c r="I5">
        <v>1</v>
      </c>
      <c r="J5" t="s">
        <v>22</v>
      </c>
      <c r="K5">
        <v>1</v>
      </c>
      <c r="L5">
        <v>1</v>
      </c>
      <c r="M5">
        <v>1</v>
      </c>
      <c r="N5">
        <v>1</v>
      </c>
      <c r="O5">
        <v>1</v>
      </c>
      <c r="P5" t="s">
        <v>23</v>
      </c>
    </row>
    <row r="6" spans="1:16" x14ac:dyDescent="0.25">
      <c r="A6" t="s">
        <v>16</v>
      </c>
      <c r="B6" t="s">
        <v>24</v>
      </c>
      <c r="C6">
        <v>0</v>
      </c>
      <c r="D6">
        <v>3.041047334671021</v>
      </c>
      <c r="E6">
        <v>1</v>
      </c>
      <c r="F6">
        <v>1</v>
      </c>
      <c r="G6">
        <v>1</v>
      </c>
      <c r="H6">
        <v>1</v>
      </c>
      <c r="I6">
        <v>1</v>
      </c>
      <c r="J6">
        <v>1</v>
      </c>
      <c r="K6">
        <v>1</v>
      </c>
      <c r="L6">
        <v>1</v>
      </c>
      <c r="M6">
        <v>1</v>
      </c>
      <c r="N6">
        <v>1</v>
      </c>
      <c r="O6">
        <v>1</v>
      </c>
    </row>
    <row r="7" spans="1:16" x14ac:dyDescent="0.25">
      <c r="A7" t="s">
        <v>16</v>
      </c>
      <c r="B7" t="s">
        <v>25</v>
      </c>
      <c r="C7">
        <v>0</v>
      </c>
      <c r="D7">
        <v>2.9441406726837158</v>
      </c>
      <c r="E7">
        <v>1</v>
      </c>
      <c r="F7">
        <v>1</v>
      </c>
      <c r="G7">
        <v>1</v>
      </c>
      <c r="H7">
        <v>1</v>
      </c>
      <c r="I7">
        <v>1</v>
      </c>
      <c r="J7">
        <v>1</v>
      </c>
      <c r="K7">
        <v>1</v>
      </c>
      <c r="L7">
        <v>1</v>
      </c>
      <c r="M7">
        <v>1</v>
      </c>
      <c r="N7">
        <v>1</v>
      </c>
      <c r="O7">
        <v>1</v>
      </c>
    </row>
    <row r="8" spans="1:16" x14ac:dyDescent="0.25">
      <c r="A8" t="s">
        <v>16</v>
      </c>
      <c r="B8" t="s">
        <v>26</v>
      </c>
      <c r="C8">
        <v>0</v>
      </c>
      <c r="D8">
        <v>10.786603212356569</v>
      </c>
      <c r="E8">
        <v>1</v>
      </c>
      <c r="F8">
        <v>1</v>
      </c>
      <c r="G8">
        <v>1</v>
      </c>
      <c r="H8">
        <v>1</v>
      </c>
      <c r="I8">
        <v>1</v>
      </c>
      <c r="J8">
        <v>1</v>
      </c>
      <c r="K8">
        <v>1</v>
      </c>
      <c r="L8">
        <v>1</v>
      </c>
      <c r="M8">
        <v>1</v>
      </c>
      <c r="N8">
        <v>1</v>
      </c>
      <c r="O8">
        <v>1</v>
      </c>
    </row>
    <row r="9" spans="1:16" x14ac:dyDescent="0.25">
      <c r="A9" t="s">
        <v>16</v>
      </c>
      <c r="B9" t="s">
        <v>27</v>
      </c>
      <c r="C9">
        <v>0</v>
      </c>
      <c r="D9">
        <v>10.3501353263855</v>
      </c>
      <c r="E9">
        <v>1</v>
      </c>
      <c r="F9">
        <v>1</v>
      </c>
      <c r="G9">
        <v>1</v>
      </c>
      <c r="H9">
        <v>1</v>
      </c>
      <c r="I9">
        <v>1</v>
      </c>
      <c r="J9">
        <v>1</v>
      </c>
      <c r="K9">
        <v>1</v>
      </c>
      <c r="L9">
        <v>1</v>
      </c>
      <c r="M9">
        <v>1</v>
      </c>
      <c r="N9">
        <v>1</v>
      </c>
      <c r="O9">
        <v>1</v>
      </c>
    </row>
    <row r="10" spans="1:16" x14ac:dyDescent="0.25">
      <c r="A10" t="s">
        <v>16</v>
      </c>
      <c r="B10" t="s">
        <v>28</v>
      </c>
      <c r="C10">
        <v>0</v>
      </c>
      <c r="D10">
        <v>2.92669677734375</v>
      </c>
      <c r="E10">
        <v>1</v>
      </c>
      <c r="F10">
        <v>1</v>
      </c>
      <c r="G10">
        <v>1</v>
      </c>
      <c r="H10">
        <v>1</v>
      </c>
      <c r="I10">
        <v>1</v>
      </c>
      <c r="J10">
        <v>1</v>
      </c>
      <c r="K10">
        <v>1</v>
      </c>
      <c r="L10">
        <v>1</v>
      </c>
      <c r="M10">
        <v>1</v>
      </c>
      <c r="N10">
        <v>1</v>
      </c>
      <c r="O10">
        <v>1</v>
      </c>
    </row>
    <row r="11" spans="1:16" x14ac:dyDescent="0.25">
      <c r="A11" t="s">
        <v>16</v>
      </c>
      <c r="B11" t="s">
        <v>29</v>
      </c>
      <c r="C11">
        <v>0</v>
      </c>
      <c r="D11">
        <v>8.6437134742736816</v>
      </c>
      <c r="E11">
        <v>1</v>
      </c>
      <c r="F11">
        <v>1</v>
      </c>
      <c r="G11">
        <v>1</v>
      </c>
      <c r="H11">
        <v>1</v>
      </c>
      <c r="I11">
        <v>1</v>
      </c>
      <c r="J11">
        <v>1</v>
      </c>
      <c r="K11">
        <v>1</v>
      </c>
      <c r="L11">
        <v>1</v>
      </c>
      <c r="M11">
        <v>1</v>
      </c>
      <c r="N11">
        <v>1</v>
      </c>
      <c r="O11">
        <v>1</v>
      </c>
    </row>
    <row r="12" spans="1:16" x14ac:dyDescent="0.25">
      <c r="A12" t="s">
        <v>16</v>
      </c>
      <c r="B12" t="s">
        <v>30</v>
      </c>
      <c r="C12">
        <v>0</v>
      </c>
      <c r="D12">
        <v>11.65114068984985</v>
      </c>
      <c r="E12">
        <v>0</v>
      </c>
      <c r="F12" t="s">
        <v>22</v>
      </c>
      <c r="G12" t="s">
        <v>22</v>
      </c>
      <c r="H12" t="s">
        <v>22</v>
      </c>
      <c r="I12" t="s">
        <v>22</v>
      </c>
      <c r="J12" t="s">
        <v>22</v>
      </c>
      <c r="K12" t="s">
        <v>22</v>
      </c>
      <c r="L12" t="s">
        <v>22</v>
      </c>
      <c r="M12" t="s">
        <v>22</v>
      </c>
      <c r="N12" t="s">
        <v>22</v>
      </c>
      <c r="O12" t="s">
        <v>22</v>
      </c>
      <c r="P12" t="s">
        <v>31</v>
      </c>
    </row>
    <row r="13" spans="1:16" x14ac:dyDescent="0.25">
      <c r="A13" t="s">
        <v>16</v>
      </c>
      <c r="B13" t="s">
        <v>32</v>
      </c>
      <c r="C13">
        <v>0</v>
      </c>
      <c r="D13">
        <v>2.976500272750854</v>
      </c>
      <c r="E13">
        <v>1</v>
      </c>
      <c r="F13">
        <v>1</v>
      </c>
      <c r="G13">
        <v>1</v>
      </c>
      <c r="H13">
        <v>1</v>
      </c>
      <c r="I13">
        <v>1</v>
      </c>
      <c r="J13">
        <v>1</v>
      </c>
      <c r="K13">
        <v>1</v>
      </c>
      <c r="L13">
        <v>1</v>
      </c>
      <c r="M13">
        <v>1</v>
      </c>
      <c r="N13">
        <v>1</v>
      </c>
      <c r="O13">
        <v>1</v>
      </c>
    </row>
    <row r="14" spans="1:16" x14ac:dyDescent="0.25">
      <c r="A14" t="s">
        <v>16</v>
      </c>
      <c r="B14" t="s">
        <v>33</v>
      </c>
      <c r="C14">
        <v>0</v>
      </c>
      <c r="D14">
        <v>11.870170116424561</v>
      </c>
      <c r="E14">
        <v>1</v>
      </c>
      <c r="F14">
        <v>0</v>
      </c>
      <c r="G14">
        <v>1</v>
      </c>
      <c r="H14" t="s">
        <v>22</v>
      </c>
      <c r="I14">
        <v>1</v>
      </c>
      <c r="J14" t="s">
        <v>22</v>
      </c>
      <c r="K14">
        <v>1</v>
      </c>
      <c r="L14">
        <v>1</v>
      </c>
      <c r="M14">
        <v>1</v>
      </c>
      <c r="N14">
        <v>1</v>
      </c>
      <c r="O14">
        <v>1</v>
      </c>
      <c r="P14" t="s">
        <v>34</v>
      </c>
    </row>
    <row r="15" spans="1:16" x14ac:dyDescent="0.25">
      <c r="A15" t="s">
        <v>16</v>
      </c>
      <c r="B15" t="s">
        <v>35</v>
      </c>
      <c r="C15">
        <v>0</v>
      </c>
      <c r="D15">
        <v>2.9371600151062012</v>
      </c>
      <c r="E15">
        <v>1</v>
      </c>
      <c r="F15">
        <v>1</v>
      </c>
      <c r="G15">
        <v>1</v>
      </c>
      <c r="H15">
        <v>1</v>
      </c>
      <c r="I15">
        <v>1</v>
      </c>
      <c r="J15">
        <v>1</v>
      </c>
      <c r="K15">
        <v>1</v>
      </c>
      <c r="L15">
        <v>1</v>
      </c>
      <c r="M15">
        <v>1</v>
      </c>
      <c r="N15">
        <v>1</v>
      </c>
      <c r="O15">
        <v>1</v>
      </c>
    </row>
    <row r="16" spans="1:16" x14ac:dyDescent="0.25">
      <c r="A16" t="s">
        <v>16</v>
      </c>
      <c r="B16" t="s">
        <v>36</v>
      </c>
      <c r="C16">
        <v>0</v>
      </c>
      <c r="D16">
        <v>11.390833377838129</v>
      </c>
      <c r="E16">
        <v>1</v>
      </c>
      <c r="F16">
        <v>1</v>
      </c>
      <c r="G16">
        <v>1</v>
      </c>
      <c r="H16">
        <v>1</v>
      </c>
      <c r="I16">
        <v>1</v>
      </c>
      <c r="J16">
        <v>0</v>
      </c>
      <c r="K16">
        <v>1</v>
      </c>
      <c r="L16">
        <v>1</v>
      </c>
      <c r="M16">
        <v>1</v>
      </c>
      <c r="N16">
        <v>1</v>
      </c>
      <c r="O16">
        <v>1</v>
      </c>
      <c r="P16" t="s">
        <v>37</v>
      </c>
    </row>
    <row r="17" spans="1:16" x14ac:dyDescent="0.25">
      <c r="A17" t="s">
        <v>16</v>
      </c>
      <c r="B17" t="s">
        <v>38</v>
      </c>
      <c r="C17">
        <v>0</v>
      </c>
      <c r="D17">
        <v>8.6064400672912598</v>
      </c>
      <c r="E17">
        <v>1</v>
      </c>
      <c r="F17">
        <v>1</v>
      </c>
      <c r="G17">
        <v>1</v>
      </c>
      <c r="H17">
        <v>1</v>
      </c>
      <c r="I17">
        <v>1</v>
      </c>
      <c r="J17">
        <v>1</v>
      </c>
      <c r="K17">
        <v>1</v>
      </c>
      <c r="L17">
        <v>1</v>
      </c>
      <c r="M17">
        <v>1</v>
      </c>
      <c r="N17">
        <v>1</v>
      </c>
      <c r="O17">
        <v>1</v>
      </c>
    </row>
    <row r="18" spans="1:16" x14ac:dyDescent="0.25">
      <c r="A18" t="s">
        <v>16</v>
      </c>
      <c r="B18" t="s">
        <v>39</v>
      </c>
      <c r="C18">
        <v>0</v>
      </c>
      <c r="D18">
        <v>9.4173409938812256</v>
      </c>
      <c r="E18">
        <v>1</v>
      </c>
      <c r="F18">
        <v>1</v>
      </c>
      <c r="G18">
        <v>1</v>
      </c>
      <c r="H18">
        <v>1</v>
      </c>
      <c r="I18">
        <v>1</v>
      </c>
      <c r="J18">
        <v>1</v>
      </c>
      <c r="K18">
        <v>1</v>
      </c>
      <c r="L18">
        <v>1</v>
      </c>
      <c r="M18">
        <v>1</v>
      </c>
      <c r="N18">
        <v>1</v>
      </c>
      <c r="O18">
        <v>1</v>
      </c>
    </row>
    <row r="19" spans="1:16" x14ac:dyDescent="0.25">
      <c r="A19" t="s">
        <v>16</v>
      </c>
      <c r="B19" t="s">
        <v>40</v>
      </c>
      <c r="C19">
        <v>0</v>
      </c>
      <c r="D19">
        <v>2.929350614547729</v>
      </c>
      <c r="E19">
        <v>1</v>
      </c>
      <c r="F19">
        <v>1</v>
      </c>
      <c r="G19">
        <v>1</v>
      </c>
      <c r="H19">
        <v>1</v>
      </c>
      <c r="I19">
        <v>1</v>
      </c>
      <c r="J19">
        <v>1</v>
      </c>
      <c r="K19">
        <v>1</v>
      </c>
      <c r="L19">
        <v>1</v>
      </c>
      <c r="M19">
        <v>1</v>
      </c>
      <c r="N19">
        <v>1</v>
      </c>
      <c r="O19">
        <v>1</v>
      </c>
    </row>
    <row r="20" spans="1:16" x14ac:dyDescent="0.25">
      <c r="A20" t="s">
        <v>16</v>
      </c>
      <c r="B20" t="s">
        <v>41</v>
      </c>
      <c r="C20">
        <v>0</v>
      </c>
      <c r="D20">
        <v>13.552191495895389</v>
      </c>
      <c r="E20">
        <v>0</v>
      </c>
      <c r="F20" t="s">
        <v>22</v>
      </c>
      <c r="G20" t="s">
        <v>22</v>
      </c>
      <c r="H20" t="s">
        <v>22</v>
      </c>
      <c r="I20" t="s">
        <v>22</v>
      </c>
      <c r="J20" t="s">
        <v>22</v>
      </c>
      <c r="K20" t="s">
        <v>22</v>
      </c>
      <c r="L20" t="s">
        <v>22</v>
      </c>
      <c r="M20" t="s">
        <v>22</v>
      </c>
      <c r="N20" t="s">
        <v>22</v>
      </c>
      <c r="O20" t="s">
        <v>22</v>
      </c>
      <c r="P20" t="s">
        <v>42</v>
      </c>
    </row>
    <row r="21" spans="1:16" x14ac:dyDescent="0.25">
      <c r="A21" t="s">
        <v>16</v>
      </c>
      <c r="B21" t="s">
        <v>43</v>
      </c>
      <c r="C21">
        <v>0</v>
      </c>
      <c r="D21">
        <v>8.9025273323059082</v>
      </c>
      <c r="E21">
        <v>1</v>
      </c>
      <c r="F21">
        <v>1</v>
      </c>
      <c r="G21">
        <v>1</v>
      </c>
      <c r="H21">
        <v>1</v>
      </c>
      <c r="I21">
        <v>1</v>
      </c>
      <c r="J21">
        <v>1</v>
      </c>
      <c r="K21">
        <v>1</v>
      </c>
      <c r="L21">
        <v>1</v>
      </c>
      <c r="M21">
        <v>1</v>
      </c>
      <c r="N21">
        <v>1</v>
      </c>
      <c r="O21">
        <v>1</v>
      </c>
    </row>
    <row r="22" spans="1:16" x14ac:dyDescent="0.25">
      <c r="A22" t="s">
        <v>16</v>
      </c>
      <c r="B22" t="s">
        <v>44</v>
      </c>
      <c r="C22">
        <v>0</v>
      </c>
      <c r="D22">
        <v>10.18459868431091</v>
      </c>
      <c r="E22">
        <v>1</v>
      </c>
      <c r="F22">
        <v>1</v>
      </c>
      <c r="G22">
        <v>1</v>
      </c>
      <c r="H22">
        <v>1</v>
      </c>
      <c r="I22">
        <v>1</v>
      </c>
      <c r="J22">
        <v>1</v>
      </c>
      <c r="K22">
        <v>1</v>
      </c>
      <c r="L22">
        <v>1</v>
      </c>
      <c r="M22">
        <v>1</v>
      </c>
      <c r="N22">
        <v>1</v>
      </c>
      <c r="O22">
        <v>1</v>
      </c>
    </row>
    <row r="23" spans="1:16" x14ac:dyDescent="0.25">
      <c r="A23" t="s">
        <v>16</v>
      </c>
      <c r="B23" t="s">
        <v>45</v>
      </c>
      <c r="C23">
        <v>0</v>
      </c>
      <c r="D23">
        <v>11.651554346084589</v>
      </c>
      <c r="E23">
        <v>1</v>
      </c>
      <c r="F23">
        <v>1</v>
      </c>
      <c r="G23">
        <v>1</v>
      </c>
      <c r="H23">
        <v>1</v>
      </c>
      <c r="I23">
        <v>1</v>
      </c>
      <c r="J23">
        <v>1</v>
      </c>
      <c r="K23">
        <v>1</v>
      </c>
      <c r="L23">
        <v>1</v>
      </c>
      <c r="M23">
        <v>1</v>
      </c>
      <c r="N23">
        <v>1</v>
      </c>
      <c r="O23">
        <v>1</v>
      </c>
    </row>
    <row r="24" spans="1:16" x14ac:dyDescent="0.25">
      <c r="A24" t="s">
        <v>16</v>
      </c>
      <c r="B24" t="s">
        <v>46</v>
      </c>
      <c r="C24">
        <v>0</v>
      </c>
      <c r="D24">
        <v>9.8399600982666016</v>
      </c>
      <c r="E24">
        <v>1</v>
      </c>
      <c r="F24">
        <v>1</v>
      </c>
      <c r="G24">
        <v>1</v>
      </c>
      <c r="H24">
        <v>1</v>
      </c>
      <c r="I24">
        <v>1</v>
      </c>
      <c r="J24">
        <v>1</v>
      </c>
      <c r="K24">
        <v>1</v>
      </c>
      <c r="L24">
        <v>1</v>
      </c>
      <c r="M24">
        <v>1</v>
      </c>
      <c r="N24">
        <v>1</v>
      </c>
      <c r="O24">
        <v>1</v>
      </c>
    </row>
    <row r="25" spans="1:16" x14ac:dyDescent="0.25">
      <c r="A25" t="s">
        <v>16</v>
      </c>
      <c r="B25" t="s">
        <v>47</v>
      </c>
      <c r="C25">
        <v>0</v>
      </c>
      <c r="D25">
        <v>11.51856851577759</v>
      </c>
      <c r="E25">
        <v>1</v>
      </c>
      <c r="F25">
        <v>1</v>
      </c>
      <c r="G25">
        <v>1</v>
      </c>
      <c r="H25">
        <v>1</v>
      </c>
      <c r="I25">
        <v>1</v>
      </c>
      <c r="J25">
        <v>1</v>
      </c>
      <c r="K25">
        <v>1</v>
      </c>
      <c r="L25">
        <v>1</v>
      </c>
      <c r="M25">
        <v>1</v>
      </c>
      <c r="N25">
        <v>1</v>
      </c>
      <c r="O25">
        <v>1</v>
      </c>
    </row>
    <row r="26" spans="1:16" x14ac:dyDescent="0.25">
      <c r="A26" t="s">
        <v>16</v>
      </c>
      <c r="B26" t="s">
        <v>48</v>
      </c>
      <c r="C26">
        <v>0</v>
      </c>
      <c r="D26">
        <v>10.433698415756229</v>
      </c>
      <c r="E26">
        <v>1</v>
      </c>
      <c r="F26">
        <v>1</v>
      </c>
      <c r="G26">
        <v>1</v>
      </c>
      <c r="H26">
        <v>1</v>
      </c>
      <c r="I26">
        <v>1</v>
      </c>
      <c r="J26">
        <v>1</v>
      </c>
      <c r="K26">
        <v>1</v>
      </c>
      <c r="L26">
        <v>1</v>
      </c>
      <c r="M26">
        <v>1</v>
      </c>
      <c r="N26">
        <v>1</v>
      </c>
      <c r="O26">
        <v>1</v>
      </c>
    </row>
    <row r="27" spans="1:16" x14ac:dyDescent="0.25">
      <c r="A27" t="s">
        <v>16</v>
      </c>
      <c r="B27" t="s">
        <v>49</v>
      </c>
      <c r="C27">
        <v>0</v>
      </c>
      <c r="D27">
        <v>11.14970731735229</v>
      </c>
      <c r="E27">
        <v>1</v>
      </c>
      <c r="F27">
        <v>0</v>
      </c>
      <c r="G27">
        <v>1</v>
      </c>
      <c r="H27" t="s">
        <v>22</v>
      </c>
      <c r="I27">
        <v>1</v>
      </c>
      <c r="J27" t="s">
        <v>22</v>
      </c>
      <c r="K27">
        <v>1</v>
      </c>
      <c r="L27">
        <v>1</v>
      </c>
      <c r="M27">
        <v>1</v>
      </c>
      <c r="N27">
        <v>1</v>
      </c>
      <c r="O27">
        <v>1</v>
      </c>
      <c r="P27" t="s">
        <v>50</v>
      </c>
    </row>
    <row r="28" spans="1:16" x14ac:dyDescent="0.25">
      <c r="A28" t="s">
        <v>16</v>
      </c>
      <c r="B28" t="s">
        <v>51</v>
      </c>
      <c r="C28">
        <v>0</v>
      </c>
      <c r="D28">
        <v>6.3620173931121826</v>
      </c>
      <c r="E28">
        <v>1</v>
      </c>
      <c r="F28">
        <v>0</v>
      </c>
      <c r="G28">
        <v>1</v>
      </c>
      <c r="H28" t="s">
        <v>22</v>
      </c>
      <c r="I28">
        <v>1</v>
      </c>
      <c r="J28" t="s">
        <v>22</v>
      </c>
      <c r="K28">
        <v>1</v>
      </c>
      <c r="L28">
        <v>1</v>
      </c>
      <c r="M28">
        <v>1</v>
      </c>
      <c r="N28">
        <v>1</v>
      </c>
      <c r="O28">
        <v>1</v>
      </c>
      <c r="P28" t="s">
        <v>52</v>
      </c>
    </row>
    <row r="29" spans="1:16" x14ac:dyDescent="0.25">
      <c r="A29" t="s">
        <v>16</v>
      </c>
      <c r="B29" t="s">
        <v>53</v>
      </c>
      <c r="C29">
        <v>0</v>
      </c>
      <c r="D29">
        <v>10.53183245658875</v>
      </c>
      <c r="E29">
        <v>1</v>
      </c>
      <c r="F29">
        <v>1</v>
      </c>
      <c r="G29">
        <v>1</v>
      </c>
      <c r="H29">
        <v>1</v>
      </c>
      <c r="I29">
        <v>1</v>
      </c>
      <c r="J29">
        <v>1</v>
      </c>
      <c r="K29">
        <v>1</v>
      </c>
      <c r="L29">
        <v>1</v>
      </c>
      <c r="M29">
        <v>1</v>
      </c>
      <c r="N29">
        <v>1</v>
      </c>
      <c r="O29">
        <v>1</v>
      </c>
    </row>
    <row r="30" spans="1:16" x14ac:dyDescent="0.25">
      <c r="A30" t="s">
        <v>16</v>
      </c>
      <c r="B30" t="s">
        <v>54</v>
      </c>
      <c r="C30">
        <v>0</v>
      </c>
      <c r="D30">
        <v>10.04720664024353</v>
      </c>
      <c r="E30">
        <v>1</v>
      </c>
      <c r="F30">
        <v>1</v>
      </c>
      <c r="G30">
        <v>0</v>
      </c>
      <c r="H30" t="s">
        <v>22</v>
      </c>
      <c r="I30">
        <v>1</v>
      </c>
      <c r="J30">
        <v>1</v>
      </c>
      <c r="K30">
        <v>1</v>
      </c>
      <c r="L30">
        <v>1</v>
      </c>
      <c r="M30">
        <v>1</v>
      </c>
      <c r="N30">
        <v>1</v>
      </c>
      <c r="O30">
        <v>1</v>
      </c>
      <c r="P30" t="s">
        <v>55</v>
      </c>
    </row>
    <row r="31" spans="1:16" x14ac:dyDescent="0.25">
      <c r="A31" t="s">
        <v>16</v>
      </c>
      <c r="B31" t="s">
        <v>56</v>
      </c>
      <c r="C31">
        <v>0</v>
      </c>
      <c r="D31">
        <v>12.46718907356262</v>
      </c>
      <c r="E31">
        <v>1</v>
      </c>
      <c r="F31">
        <v>0</v>
      </c>
      <c r="G31">
        <v>1</v>
      </c>
      <c r="H31" t="s">
        <v>22</v>
      </c>
      <c r="I31">
        <v>1</v>
      </c>
      <c r="J31" t="s">
        <v>22</v>
      </c>
      <c r="K31">
        <v>1</v>
      </c>
      <c r="L31">
        <v>1</v>
      </c>
      <c r="M31">
        <v>1</v>
      </c>
      <c r="N31">
        <v>1</v>
      </c>
      <c r="O31">
        <v>1</v>
      </c>
      <c r="P31" t="s">
        <v>57</v>
      </c>
    </row>
    <row r="32" spans="1:16" x14ac:dyDescent="0.25">
      <c r="A32" t="s">
        <v>16</v>
      </c>
      <c r="B32" t="s">
        <v>58</v>
      </c>
      <c r="C32">
        <v>0</v>
      </c>
      <c r="D32">
        <v>6.1254820823669434</v>
      </c>
      <c r="E32">
        <v>1</v>
      </c>
      <c r="F32">
        <v>0</v>
      </c>
      <c r="G32">
        <v>1</v>
      </c>
      <c r="H32" t="s">
        <v>22</v>
      </c>
      <c r="I32">
        <v>1</v>
      </c>
      <c r="J32" t="s">
        <v>22</v>
      </c>
      <c r="K32">
        <v>1</v>
      </c>
      <c r="L32">
        <v>1</v>
      </c>
      <c r="M32">
        <v>1</v>
      </c>
      <c r="N32">
        <v>1</v>
      </c>
      <c r="O32">
        <v>1</v>
      </c>
      <c r="P32" t="s">
        <v>59</v>
      </c>
    </row>
    <row r="33" spans="1:16" x14ac:dyDescent="0.25">
      <c r="A33" t="s">
        <v>16</v>
      </c>
      <c r="B33" t="s">
        <v>60</v>
      </c>
      <c r="C33">
        <v>0</v>
      </c>
      <c r="D33">
        <v>11.52084493637085</v>
      </c>
      <c r="E33">
        <v>1</v>
      </c>
      <c r="F33">
        <v>0</v>
      </c>
      <c r="G33">
        <v>1</v>
      </c>
      <c r="H33" t="s">
        <v>22</v>
      </c>
      <c r="I33">
        <v>1</v>
      </c>
      <c r="J33" t="s">
        <v>22</v>
      </c>
      <c r="K33">
        <v>1</v>
      </c>
      <c r="L33">
        <v>1</v>
      </c>
      <c r="M33">
        <v>1</v>
      </c>
      <c r="N33">
        <v>1</v>
      </c>
      <c r="O33">
        <v>1</v>
      </c>
      <c r="P33" t="s">
        <v>61</v>
      </c>
    </row>
    <row r="34" spans="1:16" x14ac:dyDescent="0.25">
      <c r="A34" t="s">
        <v>16</v>
      </c>
      <c r="B34" t="s">
        <v>62</v>
      </c>
      <c r="C34">
        <v>0</v>
      </c>
      <c r="D34">
        <v>8.7761075496673584</v>
      </c>
      <c r="E34">
        <v>0</v>
      </c>
      <c r="F34" t="s">
        <v>22</v>
      </c>
      <c r="G34" t="s">
        <v>22</v>
      </c>
      <c r="H34" t="s">
        <v>22</v>
      </c>
      <c r="I34" t="s">
        <v>22</v>
      </c>
      <c r="J34" t="s">
        <v>22</v>
      </c>
      <c r="K34" t="s">
        <v>22</v>
      </c>
      <c r="L34" t="s">
        <v>22</v>
      </c>
      <c r="M34" t="s">
        <v>22</v>
      </c>
      <c r="N34" t="s">
        <v>22</v>
      </c>
      <c r="O34" t="s">
        <v>22</v>
      </c>
      <c r="P34" t="s">
        <v>63</v>
      </c>
    </row>
    <row r="35" spans="1:16" x14ac:dyDescent="0.25">
      <c r="A35" t="s">
        <v>16</v>
      </c>
      <c r="B35" t="s">
        <v>64</v>
      </c>
      <c r="C35">
        <v>0</v>
      </c>
      <c r="D35">
        <v>11.22632193565369</v>
      </c>
      <c r="E35">
        <v>1</v>
      </c>
      <c r="F35">
        <v>1</v>
      </c>
      <c r="G35">
        <v>0</v>
      </c>
      <c r="H35" t="s">
        <v>22</v>
      </c>
      <c r="I35">
        <v>1</v>
      </c>
      <c r="J35">
        <v>1</v>
      </c>
      <c r="K35">
        <v>1</v>
      </c>
      <c r="L35">
        <v>1</v>
      </c>
      <c r="M35">
        <v>1</v>
      </c>
      <c r="N35">
        <v>1</v>
      </c>
      <c r="O35">
        <v>1</v>
      </c>
      <c r="P35" t="s">
        <v>65</v>
      </c>
    </row>
    <row r="36" spans="1:16" x14ac:dyDescent="0.25">
      <c r="A36" t="s">
        <v>16</v>
      </c>
      <c r="B36" t="s">
        <v>66</v>
      </c>
      <c r="C36">
        <v>0</v>
      </c>
      <c r="D36">
        <v>6.2476167678833008</v>
      </c>
      <c r="E36">
        <v>1</v>
      </c>
      <c r="F36">
        <v>1</v>
      </c>
      <c r="G36">
        <v>1</v>
      </c>
      <c r="H36">
        <v>1</v>
      </c>
      <c r="I36">
        <v>1</v>
      </c>
      <c r="J36">
        <v>1</v>
      </c>
      <c r="K36">
        <v>1</v>
      </c>
      <c r="L36">
        <v>1</v>
      </c>
      <c r="M36">
        <v>1</v>
      </c>
      <c r="N36">
        <v>1</v>
      </c>
      <c r="O36">
        <v>1</v>
      </c>
    </row>
    <row r="37" spans="1:16" x14ac:dyDescent="0.25">
      <c r="A37" t="s">
        <v>16</v>
      </c>
      <c r="B37" t="s">
        <v>67</v>
      </c>
      <c r="C37">
        <v>0</v>
      </c>
      <c r="D37">
        <v>11.9407331943512</v>
      </c>
      <c r="E37">
        <v>1</v>
      </c>
      <c r="F37">
        <v>1</v>
      </c>
      <c r="G37">
        <v>1</v>
      </c>
      <c r="H37">
        <v>1</v>
      </c>
      <c r="I37">
        <v>1</v>
      </c>
      <c r="J37">
        <v>1</v>
      </c>
      <c r="K37">
        <v>0</v>
      </c>
      <c r="L37">
        <v>1</v>
      </c>
      <c r="M37">
        <v>1</v>
      </c>
      <c r="N37">
        <v>1</v>
      </c>
      <c r="O37">
        <v>1</v>
      </c>
      <c r="P37" t="s">
        <v>68</v>
      </c>
    </row>
    <row r="38" spans="1:16" x14ac:dyDescent="0.25">
      <c r="A38" t="s">
        <v>16</v>
      </c>
      <c r="B38" t="s">
        <v>69</v>
      </c>
      <c r="C38">
        <v>0</v>
      </c>
      <c r="D38">
        <v>9.7374114990234375</v>
      </c>
      <c r="E38">
        <v>1</v>
      </c>
      <c r="F38">
        <v>1</v>
      </c>
      <c r="G38">
        <v>1</v>
      </c>
      <c r="H38">
        <v>1</v>
      </c>
      <c r="I38">
        <v>1</v>
      </c>
      <c r="J38">
        <v>1</v>
      </c>
      <c r="K38">
        <v>1</v>
      </c>
      <c r="L38">
        <v>1</v>
      </c>
      <c r="M38">
        <v>1</v>
      </c>
      <c r="N38">
        <v>1</v>
      </c>
      <c r="O38">
        <v>1</v>
      </c>
    </row>
    <row r="39" spans="1:16" x14ac:dyDescent="0.25">
      <c r="A39" t="s">
        <v>16</v>
      </c>
      <c r="B39" t="s">
        <v>70</v>
      </c>
      <c r="C39">
        <v>0</v>
      </c>
      <c r="D39">
        <v>2.893830299377441</v>
      </c>
      <c r="E39">
        <v>1</v>
      </c>
      <c r="F39">
        <v>1</v>
      </c>
      <c r="G39">
        <v>1</v>
      </c>
      <c r="H39">
        <v>1</v>
      </c>
      <c r="I39">
        <v>1</v>
      </c>
      <c r="J39">
        <v>1</v>
      </c>
      <c r="K39">
        <v>1</v>
      </c>
      <c r="L39">
        <v>1</v>
      </c>
      <c r="M39">
        <v>1</v>
      </c>
      <c r="N39">
        <v>1</v>
      </c>
      <c r="O39">
        <v>1</v>
      </c>
    </row>
    <row r="40" spans="1:16" x14ac:dyDescent="0.25">
      <c r="A40" t="s">
        <v>16</v>
      </c>
      <c r="B40" t="s">
        <v>71</v>
      </c>
      <c r="C40">
        <v>0</v>
      </c>
      <c r="D40">
        <v>11.566289186477659</v>
      </c>
      <c r="E40">
        <v>1</v>
      </c>
      <c r="F40">
        <v>1</v>
      </c>
      <c r="G40">
        <v>1</v>
      </c>
      <c r="H40">
        <v>1</v>
      </c>
      <c r="I40">
        <v>1</v>
      </c>
      <c r="J40">
        <v>1</v>
      </c>
      <c r="K40">
        <v>0</v>
      </c>
      <c r="L40">
        <v>1</v>
      </c>
      <c r="M40">
        <v>1</v>
      </c>
      <c r="N40">
        <v>1</v>
      </c>
      <c r="O40">
        <v>1</v>
      </c>
      <c r="P40" t="s">
        <v>72</v>
      </c>
    </row>
    <row r="41" spans="1:16" x14ac:dyDescent="0.25">
      <c r="A41" t="s">
        <v>16</v>
      </c>
      <c r="B41" t="s">
        <v>73</v>
      </c>
      <c r="C41">
        <v>0</v>
      </c>
      <c r="D41">
        <v>12.77681136131287</v>
      </c>
      <c r="E41">
        <v>0</v>
      </c>
      <c r="F41" t="s">
        <v>22</v>
      </c>
      <c r="G41" t="s">
        <v>22</v>
      </c>
      <c r="H41" t="s">
        <v>22</v>
      </c>
      <c r="I41" t="s">
        <v>22</v>
      </c>
      <c r="J41" t="s">
        <v>22</v>
      </c>
      <c r="K41" t="s">
        <v>22</v>
      </c>
      <c r="L41" t="s">
        <v>22</v>
      </c>
      <c r="M41" t="s">
        <v>22</v>
      </c>
      <c r="N41" t="s">
        <v>22</v>
      </c>
      <c r="O41" t="s">
        <v>22</v>
      </c>
      <c r="P41" t="s">
        <v>74</v>
      </c>
    </row>
    <row r="42" spans="1:16" x14ac:dyDescent="0.25">
      <c r="A42" t="s">
        <v>16</v>
      </c>
      <c r="B42" t="s">
        <v>75</v>
      </c>
      <c r="C42">
        <v>0</v>
      </c>
      <c r="D42">
        <v>12.013046979904169</v>
      </c>
      <c r="E42">
        <v>1</v>
      </c>
      <c r="F42">
        <v>1</v>
      </c>
      <c r="G42">
        <v>1</v>
      </c>
      <c r="H42">
        <v>0</v>
      </c>
      <c r="I42">
        <v>1</v>
      </c>
      <c r="J42">
        <v>1</v>
      </c>
      <c r="K42">
        <v>0</v>
      </c>
      <c r="L42">
        <v>1</v>
      </c>
      <c r="M42">
        <v>1</v>
      </c>
      <c r="N42">
        <v>1</v>
      </c>
      <c r="O42">
        <v>1</v>
      </c>
      <c r="P42" t="s">
        <v>76</v>
      </c>
    </row>
    <row r="43" spans="1:16" x14ac:dyDescent="0.25">
      <c r="A43" t="s">
        <v>16</v>
      </c>
      <c r="B43" t="s">
        <v>77</v>
      </c>
      <c r="C43">
        <v>0</v>
      </c>
      <c r="D43">
        <v>10.92373824119568</v>
      </c>
      <c r="E43">
        <v>1</v>
      </c>
      <c r="F43">
        <v>1</v>
      </c>
      <c r="G43">
        <v>0</v>
      </c>
      <c r="H43" t="s">
        <v>22</v>
      </c>
      <c r="I43">
        <v>1</v>
      </c>
      <c r="J43">
        <v>1</v>
      </c>
      <c r="K43">
        <v>1</v>
      </c>
      <c r="L43">
        <v>1</v>
      </c>
      <c r="M43">
        <v>0</v>
      </c>
      <c r="N43">
        <v>1</v>
      </c>
      <c r="O43">
        <v>1</v>
      </c>
      <c r="P43" t="s">
        <v>78</v>
      </c>
    </row>
    <row r="44" spans="1:16" x14ac:dyDescent="0.25">
      <c r="A44" t="s">
        <v>16</v>
      </c>
      <c r="B44" t="s">
        <v>79</v>
      </c>
      <c r="C44">
        <v>0</v>
      </c>
      <c r="D44">
        <v>5.7875754833221444</v>
      </c>
      <c r="E44">
        <v>1</v>
      </c>
      <c r="F44">
        <v>1</v>
      </c>
      <c r="G44">
        <v>0</v>
      </c>
      <c r="H44" t="s">
        <v>22</v>
      </c>
      <c r="I44">
        <v>1</v>
      </c>
      <c r="J44">
        <v>1</v>
      </c>
      <c r="K44">
        <v>1</v>
      </c>
      <c r="L44">
        <v>1</v>
      </c>
      <c r="M44">
        <v>1</v>
      </c>
      <c r="N44">
        <v>1</v>
      </c>
      <c r="O44">
        <v>1</v>
      </c>
      <c r="P44" t="s">
        <v>80</v>
      </c>
    </row>
    <row r="45" spans="1:16" x14ac:dyDescent="0.25">
      <c r="A45" t="s">
        <v>16</v>
      </c>
      <c r="B45" t="s">
        <v>81</v>
      </c>
      <c r="C45">
        <v>0</v>
      </c>
      <c r="D45">
        <v>11.909622669219971</v>
      </c>
      <c r="E45">
        <v>1</v>
      </c>
      <c r="F45">
        <v>1</v>
      </c>
      <c r="G45">
        <v>1</v>
      </c>
      <c r="H45">
        <v>1</v>
      </c>
      <c r="I45">
        <v>1</v>
      </c>
      <c r="J45">
        <v>0</v>
      </c>
      <c r="K45">
        <v>1</v>
      </c>
      <c r="L45">
        <v>1</v>
      </c>
      <c r="M45">
        <v>1</v>
      </c>
      <c r="N45">
        <v>1</v>
      </c>
      <c r="O45">
        <v>1</v>
      </c>
      <c r="P45" t="s">
        <v>82</v>
      </c>
    </row>
    <row r="46" spans="1:16" x14ac:dyDescent="0.25">
      <c r="A46" t="s">
        <v>16</v>
      </c>
      <c r="B46" t="s">
        <v>83</v>
      </c>
      <c r="C46">
        <v>0</v>
      </c>
      <c r="D46">
        <v>6.4374861717224121</v>
      </c>
      <c r="E46">
        <v>1</v>
      </c>
      <c r="F46">
        <v>1</v>
      </c>
      <c r="G46">
        <v>1</v>
      </c>
      <c r="H46">
        <v>1</v>
      </c>
      <c r="I46">
        <v>1</v>
      </c>
      <c r="J46">
        <v>0</v>
      </c>
      <c r="K46">
        <v>1</v>
      </c>
      <c r="L46">
        <v>1</v>
      </c>
      <c r="M46">
        <v>1</v>
      </c>
      <c r="N46">
        <v>1</v>
      </c>
      <c r="O46">
        <v>1</v>
      </c>
      <c r="P46" t="s">
        <v>84</v>
      </c>
    </row>
    <row r="47" spans="1:16" x14ac:dyDescent="0.25">
      <c r="A47" t="s">
        <v>16</v>
      </c>
      <c r="B47" t="s">
        <v>85</v>
      </c>
      <c r="C47">
        <v>0</v>
      </c>
      <c r="D47">
        <v>10.664519548416139</v>
      </c>
      <c r="E47">
        <v>1</v>
      </c>
      <c r="F47">
        <v>1</v>
      </c>
      <c r="G47">
        <v>1</v>
      </c>
      <c r="H47">
        <v>1</v>
      </c>
      <c r="I47">
        <v>1</v>
      </c>
      <c r="J47">
        <v>0</v>
      </c>
      <c r="K47">
        <v>1</v>
      </c>
      <c r="L47">
        <v>1</v>
      </c>
      <c r="M47">
        <v>1</v>
      </c>
      <c r="N47">
        <v>1</v>
      </c>
      <c r="O47">
        <v>1</v>
      </c>
      <c r="P47" t="s">
        <v>86</v>
      </c>
    </row>
    <row r="48" spans="1:16" x14ac:dyDescent="0.25">
      <c r="A48" t="s">
        <v>16</v>
      </c>
      <c r="B48" t="s">
        <v>87</v>
      </c>
      <c r="C48">
        <v>0</v>
      </c>
      <c r="D48">
        <v>13.019923210144039</v>
      </c>
      <c r="E48">
        <v>1</v>
      </c>
      <c r="F48">
        <v>1</v>
      </c>
      <c r="G48">
        <v>1</v>
      </c>
      <c r="H48">
        <v>1</v>
      </c>
      <c r="I48">
        <v>1</v>
      </c>
      <c r="J48">
        <v>0</v>
      </c>
      <c r="K48">
        <v>1</v>
      </c>
      <c r="L48">
        <v>1</v>
      </c>
      <c r="M48">
        <v>1</v>
      </c>
      <c r="N48">
        <v>1</v>
      </c>
      <c r="O48">
        <v>1</v>
      </c>
      <c r="P48" t="s">
        <v>88</v>
      </c>
    </row>
    <row r="49" spans="1:16" x14ac:dyDescent="0.25">
      <c r="A49" t="s">
        <v>16</v>
      </c>
      <c r="B49" t="s">
        <v>89</v>
      </c>
      <c r="C49">
        <v>0</v>
      </c>
      <c r="D49">
        <v>11.50774884223938</v>
      </c>
      <c r="E49">
        <v>1</v>
      </c>
      <c r="F49">
        <v>1</v>
      </c>
      <c r="G49">
        <v>1</v>
      </c>
      <c r="H49">
        <v>1</v>
      </c>
      <c r="I49">
        <v>1</v>
      </c>
      <c r="J49">
        <v>1</v>
      </c>
      <c r="K49">
        <v>1</v>
      </c>
      <c r="L49">
        <v>1</v>
      </c>
      <c r="M49">
        <v>1</v>
      </c>
      <c r="N49">
        <v>1</v>
      </c>
      <c r="O49">
        <v>1</v>
      </c>
    </row>
    <row r="50" spans="1:16" x14ac:dyDescent="0.25">
      <c r="A50" t="s">
        <v>16</v>
      </c>
      <c r="B50" t="s">
        <v>90</v>
      </c>
      <c r="C50">
        <v>0</v>
      </c>
      <c r="D50">
        <v>4.6331789493560791</v>
      </c>
      <c r="E50">
        <v>1</v>
      </c>
      <c r="F50">
        <v>1</v>
      </c>
      <c r="G50">
        <v>1</v>
      </c>
      <c r="H50">
        <v>1</v>
      </c>
      <c r="I50">
        <v>1</v>
      </c>
      <c r="J50">
        <v>0</v>
      </c>
      <c r="K50">
        <v>1</v>
      </c>
      <c r="L50">
        <v>1</v>
      </c>
      <c r="M50">
        <v>1</v>
      </c>
      <c r="N50">
        <v>1</v>
      </c>
      <c r="O50">
        <v>1</v>
      </c>
      <c r="P50" t="s">
        <v>91</v>
      </c>
    </row>
    <row r="51" spans="1:16" x14ac:dyDescent="0.25">
      <c r="A51" t="s">
        <v>92</v>
      </c>
      <c r="B51" t="s">
        <v>17</v>
      </c>
      <c r="C51">
        <v>0</v>
      </c>
      <c r="D51">
        <v>10.219038009643549</v>
      </c>
      <c r="E51">
        <v>1</v>
      </c>
      <c r="F51">
        <v>1</v>
      </c>
      <c r="G51">
        <v>1</v>
      </c>
      <c r="H51">
        <v>1</v>
      </c>
      <c r="I51">
        <v>1</v>
      </c>
      <c r="J51">
        <v>1</v>
      </c>
      <c r="K51">
        <v>1</v>
      </c>
      <c r="L51">
        <v>1</v>
      </c>
      <c r="M51">
        <v>1</v>
      </c>
      <c r="N51">
        <v>1</v>
      </c>
      <c r="O51">
        <v>1</v>
      </c>
    </row>
    <row r="52" spans="1:16" x14ac:dyDescent="0.25">
      <c r="A52" t="s">
        <v>92</v>
      </c>
      <c r="B52" t="s">
        <v>19</v>
      </c>
      <c r="C52">
        <v>0</v>
      </c>
      <c r="D52">
        <v>10.409481048583981</v>
      </c>
      <c r="E52">
        <v>1</v>
      </c>
      <c r="F52">
        <v>1</v>
      </c>
      <c r="G52">
        <v>0</v>
      </c>
      <c r="H52" t="s">
        <v>22</v>
      </c>
      <c r="I52">
        <v>1</v>
      </c>
      <c r="J52">
        <v>1</v>
      </c>
      <c r="K52">
        <v>1</v>
      </c>
      <c r="L52">
        <v>1</v>
      </c>
      <c r="M52">
        <v>1</v>
      </c>
      <c r="N52">
        <v>1</v>
      </c>
      <c r="O52">
        <v>1</v>
      </c>
      <c r="P52" t="s">
        <v>93</v>
      </c>
    </row>
    <row r="53" spans="1:16" x14ac:dyDescent="0.25">
      <c r="A53" t="s">
        <v>92</v>
      </c>
      <c r="B53" t="s">
        <v>20</v>
      </c>
      <c r="C53">
        <v>0</v>
      </c>
      <c r="D53">
        <v>9.8612284660339355</v>
      </c>
      <c r="E53">
        <v>1</v>
      </c>
      <c r="F53">
        <v>1</v>
      </c>
      <c r="G53">
        <v>1</v>
      </c>
      <c r="H53">
        <v>1</v>
      </c>
      <c r="I53">
        <v>1</v>
      </c>
      <c r="J53">
        <v>1</v>
      </c>
      <c r="K53">
        <v>1</v>
      </c>
      <c r="L53">
        <v>1</v>
      </c>
      <c r="M53">
        <v>1</v>
      </c>
      <c r="N53">
        <v>1</v>
      </c>
      <c r="O53">
        <v>1</v>
      </c>
    </row>
    <row r="54" spans="1:16" x14ac:dyDescent="0.25">
      <c r="A54" t="s">
        <v>92</v>
      </c>
      <c r="B54" t="s">
        <v>21</v>
      </c>
      <c r="C54">
        <v>0</v>
      </c>
      <c r="D54">
        <v>5.9518399238586426</v>
      </c>
      <c r="E54">
        <v>1</v>
      </c>
      <c r="F54">
        <v>1</v>
      </c>
      <c r="G54">
        <v>1</v>
      </c>
      <c r="H54">
        <v>1</v>
      </c>
      <c r="I54">
        <v>1</v>
      </c>
      <c r="J54">
        <v>1</v>
      </c>
      <c r="K54">
        <v>1</v>
      </c>
      <c r="L54">
        <v>1</v>
      </c>
      <c r="M54">
        <v>1</v>
      </c>
      <c r="N54">
        <v>1</v>
      </c>
      <c r="O54">
        <v>1</v>
      </c>
    </row>
    <row r="55" spans="1:16" x14ac:dyDescent="0.25">
      <c r="A55" t="s">
        <v>92</v>
      </c>
      <c r="B55" t="s">
        <v>24</v>
      </c>
      <c r="C55">
        <v>0</v>
      </c>
      <c r="D55">
        <v>9.299696683883667</v>
      </c>
      <c r="E55">
        <v>1</v>
      </c>
      <c r="F55">
        <v>1</v>
      </c>
      <c r="G55">
        <v>1</v>
      </c>
      <c r="H55">
        <v>1</v>
      </c>
      <c r="I55">
        <v>1</v>
      </c>
      <c r="J55">
        <v>1</v>
      </c>
      <c r="K55">
        <v>1</v>
      </c>
      <c r="L55">
        <v>1</v>
      </c>
      <c r="M55">
        <v>1</v>
      </c>
      <c r="N55">
        <v>1</v>
      </c>
      <c r="O55">
        <v>1</v>
      </c>
    </row>
    <row r="56" spans="1:16" x14ac:dyDescent="0.25">
      <c r="A56" t="s">
        <v>92</v>
      </c>
      <c r="B56" t="s">
        <v>25</v>
      </c>
      <c r="C56">
        <v>0</v>
      </c>
      <c r="D56">
        <v>7.0525119304656982</v>
      </c>
      <c r="E56">
        <v>1</v>
      </c>
      <c r="F56">
        <v>1</v>
      </c>
      <c r="G56">
        <v>0</v>
      </c>
      <c r="H56" t="s">
        <v>22</v>
      </c>
      <c r="I56">
        <v>1</v>
      </c>
      <c r="J56">
        <v>1</v>
      </c>
      <c r="K56">
        <v>1</v>
      </c>
      <c r="L56">
        <v>1</v>
      </c>
      <c r="M56">
        <v>1</v>
      </c>
      <c r="N56">
        <v>1</v>
      </c>
      <c r="O56">
        <v>1</v>
      </c>
      <c r="P56" t="s">
        <v>94</v>
      </c>
    </row>
    <row r="57" spans="1:16" x14ac:dyDescent="0.25">
      <c r="A57" t="s">
        <v>92</v>
      </c>
      <c r="B57" t="s">
        <v>26</v>
      </c>
      <c r="C57">
        <v>0</v>
      </c>
      <c r="D57">
        <v>10.73499608039856</v>
      </c>
      <c r="E57">
        <v>1</v>
      </c>
      <c r="F57">
        <v>1</v>
      </c>
      <c r="G57">
        <v>1</v>
      </c>
      <c r="H57">
        <v>1</v>
      </c>
      <c r="I57">
        <v>1</v>
      </c>
      <c r="J57">
        <v>1</v>
      </c>
      <c r="K57">
        <v>1</v>
      </c>
      <c r="L57">
        <v>1</v>
      </c>
      <c r="M57">
        <v>1</v>
      </c>
      <c r="N57">
        <v>1</v>
      </c>
      <c r="O57">
        <v>1</v>
      </c>
    </row>
    <row r="58" spans="1:16" x14ac:dyDescent="0.25">
      <c r="A58" t="s">
        <v>92</v>
      </c>
      <c r="B58" t="s">
        <v>27</v>
      </c>
      <c r="C58">
        <v>0</v>
      </c>
      <c r="D58">
        <v>11.70586061477661</v>
      </c>
      <c r="E58">
        <v>0</v>
      </c>
      <c r="F58" t="s">
        <v>22</v>
      </c>
      <c r="G58" t="s">
        <v>22</v>
      </c>
      <c r="H58" t="s">
        <v>22</v>
      </c>
      <c r="I58" t="s">
        <v>22</v>
      </c>
      <c r="J58" t="s">
        <v>22</v>
      </c>
      <c r="K58" t="s">
        <v>22</v>
      </c>
      <c r="L58" t="s">
        <v>22</v>
      </c>
      <c r="M58" t="s">
        <v>22</v>
      </c>
      <c r="N58" t="s">
        <v>22</v>
      </c>
      <c r="O58" t="s">
        <v>22</v>
      </c>
      <c r="P58" t="s">
        <v>95</v>
      </c>
    </row>
    <row r="59" spans="1:16" x14ac:dyDescent="0.25">
      <c r="A59" t="s">
        <v>92</v>
      </c>
      <c r="B59" t="s">
        <v>28</v>
      </c>
      <c r="C59">
        <v>0</v>
      </c>
      <c r="D59">
        <v>12.03923058509827</v>
      </c>
      <c r="E59">
        <v>1</v>
      </c>
      <c r="F59">
        <v>1</v>
      </c>
      <c r="G59">
        <v>1</v>
      </c>
      <c r="H59">
        <v>1</v>
      </c>
      <c r="I59">
        <v>1</v>
      </c>
      <c r="J59">
        <v>1</v>
      </c>
      <c r="K59">
        <v>1</v>
      </c>
      <c r="L59">
        <v>1</v>
      </c>
      <c r="M59">
        <v>0</v>
      </c>
      <c r="N59">
        <v>1</v>
      </c>
      <c r="O59">
        <v>1</v>
      </c>
      <c r="P59" t="s">
        <v>96</v>
      </c>
    </row>
    <row r="60" spans="1:16" x14ac:dyDescent="0.25">
      <c r="A60" t="s">
        <v>92</v>
      </c>
      <c r="B60" t="s">
        <v>29</v>
      </c>
      <c r="C60">
        <v>0</v>
      </c>
      <c r="D60">
        <v>4.8522219657897949</v>
      </c>
      <c r="E60">
        <v>1</v>
      </c>
      <c r="F60">
        <v>1</v>
      </c>
      <c r="G60">
        <v>1</v>
      </c>
      <c r="H60">
        <v>1</v>
      </c>
      <c r="I60">
        <v>1</v>
      </c>
      <c r="J60">
        <v>1</v>
      </c>
      <c r="K60">
        <v>0</v>
      </c>
      <c r="L60">
        <v>1</v>
      </c>
      <c r="M60">
        <v>1</v>
      </c>
      <c r="N60">
        <v>1</v>
      </c>
      <c r="O60">
        <v>1</v>
      </c>
      <c r="P60" t="s">
        <v>97</v>
      </c>
    </row>
    <row r="61" spans="1:16" x14ac:dyDescent="0.25">
      <c r="A61" t="s">
        <v>92</v>
      </c>
      <c r="B61" t="s">
        <v>30</v>
      </c>
      <c r="C61">
        <v>0</v>
      </c>
      <c r="D61">
        <v>9.1389930248260498</v>
      </c>
      <c r="E61">
        <v>1</v>
      </c>
      <c r="F61">
        <v>1</v>
      </c>
      <c r="G61">
        <v>1</v>
      </c>
      <c r="H61">
        <v>1</v>
      </c>
      <c r="I61">
        <v>1</v>
      </c>
      <c r="J61">
        <v>1</v>
      </c>
      <c r="K61">
        <v>1</v>
      </c>
      <c r="L61">
        <v>1</v>
      </c>
      <c r="M61">
        <v>1</v>
      </c>
      <c r="N61">
        <v>1</v>
      </c>
      <c r="O61">
        <v>1</v>
      </c>
    </row>
    <row r="62" spans="1:16" x14ac:dyDescent="0.25">
      <c r="A62" t="s">
        <v>92</v>
      </c>
      <c r="B62" t="s">
        <v>32</v>
      </c>
      <c r="C62">
        <v>0</v>
      </c>
      <c r="D62">
        <v>10.363490581512449</v>
      </c>
      <c r="E62">
        <v>1</v>
      </c>
      <c r="F62">
        <v>1</v>
      </c>
      <c r="G62">
        <v>1</v>
      </c>
      <c r="H62">
        <v>1</v>
      </c>
      <c r="I62">
        <v>1</v>
      </c>
      <c r="J62">
        <v>1</v>
      </c>
      <c r="K62">
        <v>1</v>
      </c>
      <c r="L62">
        <v>1</v>
      </c>
      <c r="M62">
        <v>1</v>
      </c>
      <c r="N62">
        <v>1</v>
      </c>
      <c r="O62">
        <v>1</v>
      </c>
    </row>
    <row r="63" spans="1:16" x14ac:dyDescent="0.25">
      <c r="A63" t="s">
        <v>92</v>
      </c>
      <c r="B63" t="s">
        <v>33</v>
      </c>
      <c r="C63">
        <v>0</v>
      </c>
      <c r="D63">
        <v>2.950380802154541</v>
      </c>
      <c r="E63">
        <v>1</v>
      </c>
      <c r="F63">
        <v>1</v>
      </c>
      <c r="G63">
        <v>1</v>
      </c>
      <c r="H63">
        <v>1</v>
      </c>
      <c r="I63">
        <v>1</v>
      </c>
      <c r="J63">
        <v>1</v>
      </c>
      <c r="K63">
        <v>1</v>
      </c>
      <c r="L63">
        <v>1</v>
      </c>
      <c r="M63">
        <v>1</v>
      </c>
      <c r="N63">
        <v>1</v>
      </c>
      <c r="O63">
        <v>1</v>
      </c>
    </row>
    <row r="64" spans="1:16" x14ac:dyDescent="0.25">
      <c r="A64" t="s">
        <v>92</v>
      </c>
      <c r="B64" t="s">
        <v>35</v>
      </c>
      <c r="C64">
        <v>0</v>
      </c>
      <c r="D64">
        <v>6.5485303401947021</v>
      </c>
      <c r="E64">
        <v>1</v>
      </c>
      <c r="F64">
        <v>1</v>
      </c>
      <c r="G64">
        <v>0</v>
      </c>
      <c r="H64" t="s">
        <v>22</v>
      </c>
      <c r="I64">
        <v>1</v>
      </c>
      <c r="J64">
        <v>1</v>
      </c>
      <c r="K64">
        <v>1</v>
      </c>
      <c r="L64">
        <v>1</v>
      </c>
      <c r="M64">
        <v>1</v>
      </c>
      <c r="N64">
        <v>1</v>
      </c>
      <c r="O64">
        <v>1</v>
      </c>
      <c r="P64" t="s">
        <v>98</v>
      </c>
    </row>
    <row r="65" spans="1:16" x14ac:dyDescent="0.25">
      <c r="A65" t="s">
        <v>92</v>
      </c>
      <c r="B65" t="s">
        <v>36</v>
      </c>
      <c r="C65">
        <v>0</v>
      </c>
      <c r="D65">
        <v>12.013779163360599</v>
      </c>
      <c r="E65">
        <v>1</v>
      </c>
      <c r="F65">
        <v>0</v>
      </c>
      <c r="G65">
        <v>1</v>
      </c>
      <c r="H65" t="s">
        <v>22</v>
      </c>
      <c r="I65">
        <v>1</v>
      </c>
      <c r="J65" t="s">
        <v>22</v>
      </c>
      <c r="K65">
        <v>1</v>
      </c>
      <c r="L65">
        <v>1</v>
      </c>
      <c r="M65">
        <v>1</v>
      </c>
      <c r="N65">
        <v>1</v>
      </c>
      <c r="O65">
        <v>1</v>
      </c>
      <c r="P65" t="s">
        <v>99</v>
      </c>
    </row>
    <row r="66" spans="1:16" x14ac:dyDescent="0.25">
      <c r="A66" t="s">
        <v>92</v>
      </c>
      <c r="B66" t="s">
        <v>38</v>
      </c>
      <c r="C66">
        <v>0</v>
      </c>
      <c r="D66">
        <v>9.7704906463623047</v>
      </c>
      <c r="E66">
        <v>1</v>
      </c>
      <c r="F66">
        <v>1</v>
      </c>
      <c r="G66">
        <v>1</v>
      </c>
      <c r="H66">
        <v>1</v>
      </c>
      <c r="I66">
        <v>1</v>
      </c>
      <c r="J66">
        <v>1</v>
      </c>
      <c r="K66">
        <v>1</v>
      </c>
      <c r="L66">
        <v>1</v>
      </c>
      <c r="M66">
        <v>1</v>
      </c>
      <c r="N66">
        <v>1</v>
      </c>
      <c r="O66">
        <v>1</v>
      </c>
    </row>
    <row r="67" spans="1:16" x14ac:dyDescent="0.25">
      <c r="A67" t="s">
        <v>92</v>
      </c>
      <c r="B67" t="s">
        <v>39</v>
      </c>
      <c r="C67">
        <v>0</v>
      </c>
      <c r="D67">
        <v>9.5236752033233643</v>
      </c>
      <c r="E67">
        <v>1</v>
      </c>
      <c r="F67">
        <v>1</v>
      </c>
      <c r="G67">
        <v>1</v>
      </c>
      <c r="H67">
        <v>1</v>
      </c>
      <c r="I67">
        <v>1</v>
      </c>
      <c r="J67">
        <v>1</v>
      </c>
      <c r="K67">
        <v>1</v>
      </c>
      <c r="L67">
        <v>1</v>
      </c>
      <c r="M67">
        <v>1</v>
      </c>
      <c r="N67">
        <v>1</v>
      </c>
      <c r="O67">
        <v>1</v>
      </c>
    </row>
    <row r="68" spans="1:16" x14ac:dyDescent="0.25">
      <c r="A68" t="s">
        <v>92</v>
      </c>
      <c r="B68" t="s">
        <v>40</v>
      </c>
      <c r="C68">
        <v>0</v>
      </c>
      <c r="D68">
        <v>12.98955512046814</v>
      </c>
      <c r="E68">
        <v>1</v>
      </c>
      <c r="F68">
        <v>1</v>
      </c>
      <c r="G68">
        <v>0</v>
      </c>
      <c r="H68" t="s">
        <v>22</v>
      </c>
      <c r="I68">
        <v>1</v>
      </c>
      <c r="J68">
        <v>1</v>
      </c>
      <c r="K68">
        <v>1</v>
      </c>
      <c r="L68">
        <v>1</v>
      </c>
      <c r="M68">
        <v>0</v>
      </c>
      <c r="N68">
        <v>1</v>
      </c>
      <c r="O68">
        <v>1</v>
      </c>
      <c r="P68" t="s">
        <v>100</v>
      </c>
    </row>
    <row r="69" spans="1:16" x14ac:dyDescent="0.25">
      <c r="A69" t="s">
        <v>92</v>
      </c>
      <c r="B69" t="s">
        <v>41</v>
      </c>
      <c r="C69">
        <v>0</v>
      </c>
      <c r="D69">
        <v>2.906566858291626</v>
      </c>
      <c r="E69">
        <v>1</v>
      </c>
      <c r="F69">
        <v>1</v>
      </c>
      <c r="G69">
        <v>1</v>
      </c>
      <c r="H69">
        <v>1</v>
      </c>
      <c r="I69">
        <v>1</v>
      </c>
      <c r="J69">
        <v>1</v>
      </c>
      <c r="K69">
        <v>1</v>
      </c>
      <c r="L69">
        <v>1</v>
      </c>
      <c r="M69">
        <v>1</v>
      </c>
      <c r="N69">
        <v>1</v>
      </c>
      <c r="O69">
        <v>1</v>
      </c>
    </row>
    <row r="70" spans="1:16" x14ac:dyDescent="0.25">
      <c r="A70" t="s">
        <v>92</v>
      </c>
      <c r="B70" t="s">
        <v>43</v>
      </c>
      <c r="C70">
        <v>0</v>
      </c>
      <c r="D70">
        <v>9.8680250644683838</v>
      </c>
      <c r="E70">
        <v>1</v>
      </c>
      <c r="F70">
        <v>1</v>
      </c>
      <c r="G70">
        <v>1</v>
      </c>
      <c r="H70">
        <v>1</v>
      </c>
      <c r="I70">
        <v>1</v>
      </c>
      <c r="J70">
        <v>1</v>
      </c>
      <c r="K70">
        <v>1</v>
      </c>
      <c r="L70">
        <v>1</v>
      </c>
      <c r="M70">
        <v>1</v>
      </c>
      <c r="N70">
        <v>1</v>
      </c>
      <c r="O70">
        <v>1</v>
      </c>
    </row>
    <row r="71" spans="1:16" x14ac:dyDescent="0.25">
      <c r="A71" t="s">
        <v>92</v>
      </c>
      <c r="B71" t="s">
        <v>44</v>
      </c>
      <c r="C71">
        <v>0</v>
      </c>
      <c r="D71">
        <v>10.294959306716921</v>
      </c>
      <c r="E71">
        <v>1</v>
      </c>
      <c r="F71">
        <v>1</v>
      </c>
      <c r="G71">
        <v>1</v>
      </c>
      <c r="H71">
        <v>1</v>
      </c>
      <c r="I71">
        <v>1</v>
      </c>
      <c r="J71">
        <v>1</v>
      </c>
      <c r="K71">
        <v>1</v>
      </c>
      <c r="L71">
        <v>1</v>
      </c>
      <c r="M71">
        <v>1</v>
      </c>
      <c r="N71">
        <v>1</v>
      </c>
      <c r="O71">
        <v>1</v>
      </c>
    </row>
    <row r="72" spans="1:16" x14ac:dyDescent="0.25">
      <c r="A72" t="s">
        <v>92</v>
      </c>
      <c r="B72" t="s">
        <v>45</v>
      </c>
      <c r="C72">
        <v>0</v>
      </c>
      <c r="D72">
        <v>8.903836727142334</v>
      </c>
      <c r="E72">
        <v>1</v>
      </c>
      <c r="F72">
        <v>1</v>
      </c>
      <c r="G72">
        <v>1</v>
      </c>
      <c r="H72">
        <v>1</v>
      </c>
      <c r="I72">
        <v>1</v>
      </c>
      <c r="J72">
        <v>1</v>
      </c>
      <c r="K72">
        <v>1</v>
      </c>
      <c r="L72">
        <v>1</v>
      </c>
      <c r="M72">
        <v>1</v>
      </c>
      <c r="N72">
        <v>1</v>
      </c>
      <c r="O72">
        <v>1</v>
      </c>
    </row>
    <row r="73" spans="1:16" x14ac:dyDescent="0.25">
      <c r="A73" t="s">
        <v>92</v>
      </c>
      <c r="B73" t="s">
        <v>46</v>
      </c>
      <c r="C73">
        <v>0</v>
      </c>
      <c r="D73">
        <v>2.9854199886322021</v>
      </c>
      <c r="E73">
        <v>1</v>
      </c>
      <c r="F73">
        <v>1</v>
      </c>
      <c r="G73">
        <v>1</v>
      </c>
      <c r="H73">
        <v>1</v>
      </c>
      <c r="I73">
        <v>1</v>
      </c>
      <c r="J73">
        <v>1</v>
      </c>
      <c r="K73">
        <v>1</v>
      </c>
      <c r="L73">
        <v>1</v>
      </c>
      <c r="M73">
        <v>1</v>
      </c>
      <c r="N73">
        <v>1</v>
      </c>
      <c r="O73">
        <v>1</v>
      </c>
    </row>
    <row r="74" spans="1:16" x14ac:dyDescent="0.25">
      <c r="A74" t="s">
        <v>92</v>
      </c>
      <c r="B74" t="s">
        <v>47</v>
      </c>
      <c r="C74">
        <v>0</v>
      </c>
      <c r="D74">
        <v>9.665308952331543</v>
      </c>
      <c r="E74">
        <v>1</v>
      </c>
      <c r="F74">
        <v>1</v>
      </c>
      <c r="G74">
        <v>1</v>
      </c>
      <c r="H74">
        <v>1</v>
      </c>
      <c r="I74">
        <v>1</v>
      </c>
      <c r="J74">
        <v>1</v>
      </c>
      <c r="K74">
        <v>1</v>
      </c>
      <c r="L74">
        <v>1</v>
      </c>
      <c r="M74">
        <v>1</v>
      </c>
      <c r="N74">
        <v>1</v>
      </c>
      <c r="O74">
        <v>1</v>
      </c>
    </row>
    <row r="75" spans="1:16" x14ac:dyDescent="0.25">
      <c r="A75" t="s">
        <v>92</v>
      </c>
      <c r="B75" t="s">
        <v>48</v>
      </c>
      <c r="C75">
        <v>0</v>
      </c>
      <c r="D75">
        <v>10.30558180809021</v>
      </c>
      <c r="E75">
        <v>1</v>
      </c>
      <c r="F75">
        <v>1</v>
      </c>
      <c r="G75">
        <v>1</v>
      </c>
      <c r="H75">
        <v>1</v>
      </c>
      <c r="I75">
        <v>1</v>
      </c>
      <c r="J75">
        <v>1</v>
      </c>
      <c r="K75">
        <v>1</v>
      </c>
      <c r="L75">
        <v>1</v>
      </c>
      <c r="M75">
        <v>1</v>
      </c>
      <c r="N75">
        <v>1</v>
      </c>
      <c r="O75">
        <v>1</v>
      </c>
    </row>
    <row r="76" spans="1:16" x14ac:dyDescent="0.25">
      <c r="A76" t="s">
        <v>92</v>
      </c>
      <c r="B76" t="s">
        <v>49</v>
      </c>
      <c r="C76">
        <v>0</v>
      </c>
      <c r="D76">
        <v>9.8511550426483154</v>
      </c>
      <c r="E76">
        <v>1</v>
      </c>
      <c r="F76">
        <v>1</v>
      </c>
      <c r="G76">
        <v>1</v>
      </c>
      <c r="H76">
        <v>1</v>
      </c>
      <c r="I76">
        <v>1</v>
      </c>
      <c r="J76">
        <v>1</v>
      </c>
      <c r="K76">
        <v>1</v>
      </c>
      <c r="L76">
        <v>1</v>
      </c>
      <c r="M76">
        <v>1</v>
      </c>
      <c r="N76">
        <v>1</v>
      </c>
      <c r="O76">
        <v>1</v>
      </c>
    </row>
    <row r="77" spans="1:16" x14ac:dyDescent="0.25">
      <c r="A77" t="s">
        <v>92</v>
      </c>
      <c r="B77" t="s">
        <v>51</v>
      </c>
      <c r="C77">
        <v>0</v>
      </c>
      <c r="D77">
        <v>4.8917942047119141</v>
      </c>
      <c r="E77">
        <v>1</v>
      </c>
      <c r="F77">
        <v>0</v>
      </c>
      <c r="G77">
        <v>1</v>
      </c>
      <c r="H77" t="s">
        <v>22</v>
      </c>
      <c r="I77">
        <v>1</v>
      </c>
      <c r="J77" t="s">
        <v>22</v>
      </c>
      <c r="K77">
        <v>1</v>
      </c>
      <c r="L77">
        <v>1</v>
      </c>
      <c r="M77">
        <v>1</v>
      </c>
      <c r="N77">
        <v>1</v>
      </c>
      <c r="O77">
        <v>1</v>
      </c>
      <c r="P77" t="s">
        <v>101</v>
      </c>
    </row>
    <row r="78" spans="1:16" x14ac:dyDescent="0.25">
      <c r="A78" t="s">
        <v>92</v>
      </c>
      <c r="B78" t="s">
        <v>53</v>
      </c>
      <c r="C78">
        <v>0</v>
      </c>
      <c r="D78">
        <v>5.1894409656524658</v>
      </c>
      <c r="E78">
        <v>1</v>
      </c>
      <c r="F78">
        <v>0</v>
      </c>
      <c r="G78">
        <v>1</v>
      </c>
      <c r="H78" t="s">
        <v>22</v>
      </c>
      <c r="I78">
        <v>1</v>
      </c>
      <c r="J78" t="s">
        <v>22</v>
      </c>
      <c r="K78">
        <v>1</v>
      </c>
      <c r="L78">
        <v>1</v>
      </c>
      <c r="M78">
        <v>1</v>
      </c>
      <c r="N78">
        <v>1</v>
      </c>
      <c r="O78">
        <v>1</v>
      </c>
      <c r="P78" t="s">
        <v>102</v>
      </c>
    </row>
    <row r="79" spans="1:16" x14ac:dyDescent="0.25">
      <c r="A79" t="s">
        <v>92</v>
      </c>
      <c r="B79" t="s">
        <v>54</v>
      </c>
      <c r="C79">
        <v>0</v>
      </c>
      <c r="D79">
        <v>11.26008725166321</v>
      </c>
      <c r="E79">
        <v>1</v>
      </c>
      <c r="F79">
        <v>1</v>
      </c>
      <c r="G79">
        <v>1</v>
      </c>
      <c r="H79">
        <v>1</v>
      </c>
      <c r="I79">
        <v>1</v>
      </c>
      <c r="J79">
        <v>1</v>
      </c>
      <c r="K79">
        <v>1</v>
      </c>
      <c r="L79">
        <v>1</v>
      </c>
      <c r="M79">
        <v>1</v>
      </c>
      <c r="N79">
        <v>1</v>
      </c>
      <c r="O79">
        <v>1</v>
      </c>
    </row>
    <row r="80" spans="1:16" x14ac:dyDescent="0.25">
      <c r="A80" t="s">
        <v>92</v>
      </c>
      <c r="B80" t="s">
        <v>56</v>
      </c>
      <c r="C80">
        <v>0</v>
      </c>
      <c r="D80">
        <v>8.7496953010559082</v>
      </c>
      <c r="E80">
        <v>1</v>
      </c>
      <c r="F80">
        <v>1</v>
      </c>
      <c r="G80">
        <v>1</v>
      </c>
      <c r="H80">
        <v>1</v>
      </c>
      <c r="I80">
        <v>1</v>
      </c>
      <c r="J80">
        <v>1</v>
      </c>
      <c r="K80">
        <v>1</v>
      </c>
      <c r="L80">
        <v>1</v>
      </c>
      <c r="M80">
        <v>1</v>
      </c>
      <c r="N80">
        <v>1</v>
      </c>
      <c r="O80">
        <v>1</v>
      </c>
    </row>
    <row r="81" spans="1:16" x14ac:dyDescent="0.25">
      <c r="A81" t="s">
        <v>92</v>
      </c>
      <c r="B81" t="s">
        <v>58</v>
      </c>
      <c r="C81">
        <v>0</v>
      </c>
      <c r="D81">
        <v>11.42074799537659</v>
      </c>
      <c r="E81">
        <v>1</v>
      </c>
      <c r="F81">
        <v>1</v>
      </c>
      <c r="G81">
        <v>0</v>
      </c>
      <c r="H81" t="s">
        <v>22</v>
      </c>
      <c r="I81">
        <v>1</v>
      </c>
      <c r="J81">
        <v>1</v>
      </c>
      <c r="K81">
        <v>0</v>
      </c>
      <c r="L81">
        <v>1</v>
      </c>
      <c r="M81">
        <v>1</v>
      </c>
      <c r="N81">
        <v>1</v>
      </c>
      <c r="O81">
        <v>1</v>
      </c>
      <c r="P81" t="s">
        <v>103</v>
      </c>
    </row>
    <row r="82" spans="1:16" x14ac:dyDescent="0.25">
      <c r="A82" t="s">
        <v>92</v>
      </c>
      <c r="B82" t="s">
        <v>60</v>
      </c>
      <c r="C82">
        <v>0</v>
      </c>
      <c r="D82">
        <v>10.211460113525391</v>
      </c>
      <c r="E82">
        <v>1</v>
      </c>
      <c r="F82">
        <v>1</v>
      </c>
      <c r="G82">
        <v>0</v>
      </c>
      <c r="H82" t="s">
        <v>22</v>
      </c>
      <c r="I82">
        <v>1</v>
      </c>
      <c r="J82">
        <v>1</v>
      </c>
      <c r="K82">
        <v>1</v>
      </c>
      <c r="L82">
        <v>1</v>
      </c>
      <c r="M82">
        <v>1</v>
      </c>
      <c r="N82">
        <v>1</v>
      </c>
      <c r="O82">
        <v>1</v>
      </c>
      <c r="P82" t="s">
        <v>104</v>
      </c>
    </row>
    <row r="83" spans="1:16" x14ac:dyDescent="0.25">
      <c r="A83" t="s">
        <v>92</v>
      </c>
      <c r="B83" t="s">
        <v>62</v>
      </c>
      <c r="C83">
        <v>0</v>
      </c>
      <c r="D83">
        <v>3.0583426952362061</v>
      </c>
      <c r="E83">
        <v>1</v>
      </c>
      <c r="F83">
        <v>1</v>
      </c>
      <c r="G83">
        <v>1</v>
      </c>
      <c r="H83">
        <v>1</v>
      </c>
      <c r="I83">
        <v>1</v>
      </c>
      <c r="J83">
        <v>1</v>
      </c>
      <c r="K83">
        <v>1</v>
      </c>
      <c r="L83">
        <v>1</v>
      </c>
      <c r="M83">
        <v>1</v>
      </c>
      <c r="N83">
        <v>1</v>
      </c>
      <c r="O83">
        <v>1</v>
      </c>
    </row>
    <row r="84" spans="1:16" x14ac:dyDescent="0.25">
      <c r="A84" t="s">
        <v>92</v>
      </c>
      <c r="B84" t="s">
        <v>64</v>
      </c>
      <c r="C84">
        <v>0</v>
      </c>
      <c r="D84">
        <v>11.868451356887819</v>
      </c>
      <c r="E84">
        <v>1</v>
      </c>
      <c r="F84">
        <v>1</v>
      </c>
      <c r="G84">
        <v>1</v>
      </c>
      <c r="H84">
        <v>1</v>
      </c>
      <c r="I84">
        <v>1</v>
      </c>
      <c r="J84">
        <v>1</v>
      </c>
      <c r="K84">
        <v>0</v>
      </c>
      <c r="L84">
        <v>1</v>
      </c>
      <c r="M84">
        <v>1</v>
      </c>
      <c r="N84">
        <v>1</v>
      </c>
      <c r="O84">
        <v>1</v>
      </c>
      <c r="P84" t="s">
        <v>105</v>
      </c>
    </row>
    <row r="85" spans="1:16" x14ac:dyDescent="0.25">
      <c r="A85" t="s">
        <v>92</v>
      </c>
      <c r="B85" t="s">
        <v>66</v>
      </c>
      <c r="C85">
        <v>0</v>
      </c>
      <c r="D85">
        <v>5.209693431854248</v>
      </c>
      <c r="E85">
        <v>1</v>
      </c>
      <c r="F85">
        <v>1</v>
      </c>
      <c r="G85">
        <v>0</v>
      </c>
      <c r="H85" t="s">
        <v>22</v>
      </c>
      <c r="I85">
        <v>1</v>
      </c>
      <c r="J85">
        <v>1</v>
      </c>
      <c r="K85">
        <v>1</v>
      </c>
      <c r="L85">
        <v>1</v>
      </c>
      <c r="M85">
        <v>1</v>
      </c>
      <c r="N85">
        <v>1</v>
      </c>
      <c r="O85">
        <v>1</v>
      </c>
      <c r="P85" t="s">
        <v>106</v>
      </c>
    </row>
    <row r="86" spans="1:16" x14ac:dyDescent="0.25">
      <c r="A86" t="s">
        <v>92</v>
      </c>
      <c r="B86" t="s">
        <v>67</v>
      </c>
      <c r="C86">
        <v>0</v>
      </c>
      <c r="D86">
        <v>10.416767358779911</v>
      </c>
      <c r="E86">
        <v>1</v>
      </c>
      <c r="F86">
        <v>1</v>
      </c>
      <c r="G86">
        <v>1</v>
      </c>
      <c r="H86">
        <v>1</v>
      </c>
      <c r="I86">
        <v>1</v>
      </c>
      <c r="J86">
        <v>1</v>
      </c>
      <c r="K86">
        <v>1</v>
      </c>
      <c r="L86">
        <v>1</v>
      </c>
      <c r="M86">
        <v>1</v>
      </c>
      <c r="N86">
        <v>1</v>
      </c>
      <c r="O86">
        <v>1</v>
      </c>
    </row>
    <row r="87" spans="1:16" x14ac:dyDescent="0.25">
      <c r="A87" t="s">
        <v>92</v>
      </c>
      <c r="B87" t="s">
        <v>69</v>
      </c>
      <c r="C87">
        <v>0</v>
      </c>
      <c r="D87">
        <v>8.1673076152801514</v>
      </c>
      <c r="E87">
        <v>0</v>
      </c>
      <c r="F87" t="s">
        <v>22</v>
      </c>
      <c r="G87" t="s">
        <v>22</v>
      </c>
      <c r="H87" t="s">
        <v>22</v>
      </c>
      <c r="I87" t="s">
        <v>22</v>
      </c>
      <c r="J87" t="s">
        <v>22</v>
      </c>
      <c r="K87" t="s">
        <v>22</v>
      </c>
      <c r="L87" t="s">
        <v>22</v>
      </c>
      <c r="M87" t="s">
        <v>22</v>
      </c>
      <c r="N87" t="s">
        <v>22</v>
      </c>
      <c r="O87" t="s">
        <v>22</v>
      </c>
      <c r="P87" t="s">
        <v>107</v>
      </c>
    </row>
    <row r="88" spans="1:16" x14ac:dyDescent="0.25">
      <c r="A88" t="s">
        <v>92</v>
      </c>
      <c r="B88" t="s">
        <v>70</v>
      </c>
      <c r="C88">
        <v>0</v>
      </c>
      <c r="D88">
        <v>8.0423343181610107</v>
      </c>
      <c r="E88">
        <v>1</v>
      </c>
      <c r="F88">
        <v>1</v>
      </c>
      <c r="G88">
        <v>1</v>
      </c>
      <c r="H88">
        <v>0</v>
      </c>
      <c r="I88">
        <v>1</v>
      </c>
      <c r="J88">
        <v>1</v>
      </c>
      <c r="K88">
        <v>1</v>
      </c>
      <c r="L88">
        <v>1</v>
      </c>
      <c r="M88">
        <v>1</v>
      </c>
      <c r="N88">
        <v>1</v>
      </c>
      <c r="O88">
        <v>1</v>
      </c>
      <c r="P88" t="s">
        <v>108</v>
      </c>
    </row>
    <row r="89" spans="1:16" x14ac:dyDescent="0.25">
      <c r="A89" t="s">
        <v>92</v>
      </c>
      <c r="B89" t="s">
        <v>71</v>
      </c>
      <c r="C89">
        <v>0</v>
      </c>
      <c r="D89">
        <v>10.63380026817322</v>
      </c>
      <c r="E89">
        <v>1</v>
      </c>
      <c r="F89">
        <v>1</v>
      </c>
      <c r="G89">
        <v>1</v>
      </c>
      <c r="H89">
        <v>1</v>
      </c>
      <c r="I89">
        <v>1</v>
      </c>
      <c r="J89">
        <v>1</v>
      </c>
      <c r="K89">
        <v>1</v>
      </c>
      <c r="L89">
        <v>1</v>
      </c>
      <c r="M89">
        <v>1</v>
      </c>
      <c r="N89">
        <v>1</v>
      </c>
      <c r="O89">
        <v>1</v>
      </c>
    </row>
    <row r="90" spans="1:16" x14ac:dyDescent="0.25">
      <c r="A90" t="s">
        <v>92</v>
      </c>
      <c r="B90" t="s">
        <v>73</v>
      </c>
      <c r="C90">
        <v>0</v>
      </c>
      <c r="D90">
        <v>2.869093656539917</v>
      </c>
      <c r="E90">
        <v>1</v>
      </c>
      <c r="F90">
        <v>1</v>
      </c>
      <c r="G90">
        <v>1</v>
      </c>
      <c r="H90">
        <v>1</v>
      </c>
      <c r="I90">
        <v>1</v>
      </c>
      <c r="J90">
        <v>1</v>
      </c>
      <c r="K90">
        <v>1</v>
      </c>
      <c r="L90">
        <v>1</v>
      </c>
      <c r="M90">
        <v>1</v>
      </c>
      <c r="N90">
        <v>1</v>
      </c>
      <c r="O90">
        <v>1</v>
      </c>
    </row>
    <row r="91" spans="1:16" x14ac:dyDescent="0.25">
      <c r="A91" t="s">
        <v>92</v>
      </c>
      <c r="B91" t="s">
        <v>75</v>
      </c>
      <c r="C91">
        <v>0</v>
      </c>
      <c r="D91">
        <v>2.9348585605621338</v>
      </c>
      <c r="E91">
        <v>1</v>
      </c>
      <c r="F91">
        <v>1</v>
      </c>
      <c r="G91">
        <v>1</v>
      </c>
      <c r="H91">
        <v>1</v>
      </c>
      <c r="I91">
        <v>1</v>
      </c>
      <c r="J91">
        <v>1</v>
      </c>
      <c r="K91">
        <v>1</v>
      </c>
      <c r="L91">
        <v>1</v>
      </c>
      <c r="M91">
        <v>1</v>
      </c>
      <c r="N91">
        <v>1</v>
      </c>
      <c r="O91">
        <v>1</v>
      </c>
    </row>
    <row r="92" spans="1:16" x14ac:dyDescent="0.25">
      <c r="A92" t="s">
        <v>92</v>
      </c>
      <c r="B92" t="s">
        <v>77</v>
      </c>
      <c r="C92">
        <v>0</v>
      </c>
      <c r="D92">
        <v>9.4844956398010254</v>
      </c>
      <c r="E92">
        <v>1</v>
      </c>
      <c r="F92">
        <v>1</v>
      </c>
      <c r="G92">
        <v>1</v>
      </c>
      <c r="H92">
        <v>1</v>
      </c>
      <c r="I92">
        <v>1</v>
      </c>
      <c r="J92">
        <v>1</v>
      </c>
      <c r="K92">
        <v>1</v>
      </c>
      <c r="L92">
        <v>1</v>
      </c>
      <c r="M92">
        <v>1</v>
      </c>
      <c r="N92">
        <v>1</v>
      </c>
      <c r="O92">
        <v>1</v>
      </c>
    </row>
    <row r="93" spans="1:16" x14ac:dyDescent="0.25">
      <c r="A93" t="s">
        <v>92</v>
      </c>
      <c r="B93" t="s">
        <v>79</v>
      </c>
      <c r="C93">
        <v>0</v>
      </c>
      <c r="D93">
        <v>4.6243321895599374</v>
      </c>
      <c r="E93">
        <v>1</v>
      </c>
      <c r="F93">
        <v>1</v>
      </c>
      <c r="G93">
        <v>1</v>
      </c>
      <c r="H93">
        <v>1</v>
      </c>
      <c r="I93">
        <v>1</v>
      </c>
      <c r="J93">
        <v>0</v>
      </c>
      <c r="K93">
        <v>1</v>
      </c>
      <c r="L93">
        <v>1</v>
      </c>
      <c r="M93">
        <v>1</v>
      </c>
      <c r="N93">
        <v>1</v>
      </c>
      <c r="O93">
        <v>1</v>
      </c>
      <c r="P93" t="s">
        <v>109</v>
      </c>
    </row>
    <row r="94" spans="1:16" x14ac:dyDescent="0.25">
      <c r="A94" t="s">
        <v>92</v>
      </c>
      <c r="B94" t="s">
        <v>81</v>
      </c>
      <c r="C94">
        <v>0</v>
      </c>
      <c r="D94">
        <v>11.005552291870121</v>
      </c>
      <c r="E94">
        <v>1</v>
      </c>
      <c r="F94">
        <v>1</v>
      </c>
      <c r="G94">
        <v>1</v>
      </c>
      <c r="H94">
        <v>1</v>
      </c>
      <c r="I94">
        <v>1</v>
      </c>
      <c r="J94">
        <v>1</v>
      </c>
      <c r="K94">
        <v>1</v>
      </c>
      <c r="L94">
        <v>1</v>
      </c>
      <c r="M94">
        <v>1</v>
      </c>
      <c r="N94">
        <v>1</v>
      </c>
      <c r="O94">
        <v>1</v>
      </c>
    </row>
    <row r="95" spans="1:16" x14ac:dyDescent="0.25">
      <c r="A95" t="s">
        <v>92</v>
      </c>
      <c r="B95" t="s">
        <v>83</v>
      </c>
      <c r="C95">
        <v>0</v>
      </c>
      <c r="D95">
        <v>11.99717473983765</v>
      </c>
      <c r="E95">
        <v>1</v>
      </c>
      <c r="F95">
        <v>1</v>
      </c>
      <c r="G95">
        <v>1</v>
      </c>
      <c r="H95">
        <v>1</v>
      </c>
      <c r="I95">
        <v>1</v>
      </c>
      <c r="J95">
        <v>0</v>
      </c>
      <c r="K95">
        <v>1</v>
      </c>
      <c r="L95">
        <v>1</v>
      </c>
      <c r="M95">
        <v>1</v>
      </c>
      <c r="N95">
        <v>1</v>
      </c>
      <c r="O95">
        <v>1</v>
      </c>
      <c r="P95" t="s">
        <v>110</v>
      </c>
    </row>
    <row r="96" spans="1:16" x14ac:dyDescent="0.25">
      <c r="A96" t="s">
        <v>92</v>
      </c>
      <c r="B96" t="s">
        <v>85</v>
      </c>
      <c r="C96">
        <v>0</v>
      </c>
      <c r="D96">
        <v>6.2708518505096444</v>
      </c>
      <c r="E96">
        <v>1</v>
      </c>
      <c r="F96">
        <v>1</v>
      </c>
      <c r="G96">
        <v>1</v>
      </c>
      <c r="H96">
        <v>1</v>
      </c>
      <c r="I96">
        <v>1</v>
      </c>
      <c r="J96">
        <v>0</v>
      </c>
      <c r="K96">
        <v>1</v>
      </c>
      <c r="L96">
        <v>1</v>
      </c>
      <c r="M96">
        <v>1</v>
      </c>
      <c r="N96">
        <v>1</v>
      </c>
      <c r="O96">
        <v>1</v>
      </c>
      <c r="P96" t="s">
        <v>111</v>
      </c>
    </row>
    <row r="97" spans="1:16" x14ac:dyDescent="0.25">
      <c r="A97" t="s">
        <v>92</v>
      </c>
      <c r="B97" t="s">
        <v>87</v>
      </c>
      <c r="C97">
        <v>0</v>
      </c>
      <c r="D97">
        <v>12.125995874404911</v>
      </c>
      <c r="E97">
        <v>1</v>
      </c>
      <c r="F97">
        <v>0</v>
      </c>
      <c r="G97">
        <v>1</v>
      </c>
      <c r="H97" t="s">
        <v>22</v>
      </c>
      <c r="I97">
        <v>1</v>
      </c>
      <c r="J97" t="s">
        <v>22</v>
      </c>
      <c r="K97">
        <v>1</v>
      </c>
      <c r="L97">
        <v>1</v>
      </c>
      <c r="M97">
        <v>1</v>
      </c>
      <c r="N97">
        <v>1</v>
      </c>
      <c r="O97">
        <v>1</v>
      </c>
      <c r="P97" t="s">
        <v>112</v>
      </c>
    </row>
    <row r="98" spans="1:16" x14ac:dyDescent="0.25">
      <c r="A98" t="s">
        <v>92</v>
      </c>
      <c r="B98" t="s">
        <v>89</v>
      </c>
      <c r="C98">
        <v>0</v>
      </c>
      <c r="D98">
        <v>11.102887868881229</v>
      </c>
      <c r="E98">
        <v>1</v>
      </c>
      <c r="F98">
        <v>1</v>
      </c>
      <c r="G98">
        <v>1</v>
      </c>
      <c r="H98">
        <v>1</v>
      </c>
      <c r="I98">
        <v>1</v>
      </c>
      <c r="J98">
        <v>0</v>
      </c>
      <c r="K98">
        <v>1</v>
      </c>
      <c r="L98">
        <v>1</v>
      </c>
      <c r="M98">
        <v>1</v>
      </c>
      <c r="N98">
        <v>1</v>
      </c>
      <c r="O98">
        <v>1</v>
      </c>
      <c r="P98" t="s">
        <v>113</v>
      </c>
    </row>
    <row r="99" spans="1:16" x14ac:dyDescent="0.25">
      <c r="A99" t="s">
        <v>92</v>
      </c>
      <c r="B99" t="s">
        <v>90</v>
      </c>
      <c r="C99">
        <v>0</v>
      </c>
      <c r="D99">
        <v>12.4884786605835</v>
      </c>
      <c r="E99">
        <v>1</v>
      </c>
      <c r="F99">
        <v>1</v>
      </c>
      <c r="G99">
        <v>1</v>
      </c>
      <c r="H99">
        <v>1</v>
      </c>
      <c r="I99">
        <v>1</v>
      </c>
      <c r="J99">
        <v>0</v>
      </c>
      <c r="K99">
        <v>1</v>
      </c>
      <c r="L99">
        <v>1</v>
      </c>
      <c r="M99">
        <v>1</v>
      </c>
      <c r="N99">
        <v>1</v>
      </c>
      <c r="O99">
        <v>1</v>
      </c>
      <c r="P99" t="s">
        <v>114</v>
      </c>
    </row>
    <row r="100" spans="1:16" x14ac:dyDescent="0.25">
      <c r="A100" t="s">
        <v>92</v>
      </c>
      <c r="B100" t="s">
        <v>115</v>
      </c>
      <c r="C100">
        <v>0</v>
      </c>
      <c r="D100">
        <v>10.69475436210632</v>
      </c>
      <c r="E100">
        <v>0</v>
      </c>
      <c r="F100" t="s">
        <v>22</v>
      </c>
      <c r="G100" t="s">
        <v>22</v>
      </c>
      <c r="H100" t="s">
        <v>22</v>
      </c>
      <c r="I100" t="s">
        <v>22</v>
      </c>
      <c r="J100" t="s">
        <v>22</v>
      </c>
      <c r="K100" t="s">
        <v>22</v>
      </c>
      <c r="L100" t="s">
        <v>22</v>
      </c>
      <c r="M100" t="s">
        <v>22</v>
      </c>
      <c r="N100" t="s">
        <v>22</v>
      </c>
      <c r="O100" t="s">
        <v>22</v>
      </c>
      <c r="P100" t="s">
        <v>116</v>
      </c>
    </row>
    <row r="101" spans="1:16" x14ac:dyDescent="0.25">
      <c r="A101" t="s">
        <v>92</v>
      </c>
      <c r="B101" t="s">
        <v>117</v>
      </c>
      <c r="C101">
        <v>0</v>
      </c>
      <c r="D101">
        <v>11.466151714324949</v>
      </c>
      <c r="E101">
        <v>1</v>
      </c>
      <c r="F101">
        <v>1</v>
      </c>
      <c r="G101">
        <v>1</v>
      </c>
      <c r="H101">
        <v>1</v>
      </c>
      <c r="I101">
        <v>1</v>
      </c>
      <c r="J101">
        <v>0</v>
      </c>
      <c r="K101">
        <v>0</v>
      </c>
      <c r="L101">
        <v>0</v>
      </c>
      <c r="M101">
        <v>1</v>
      </c>
      <c r="N101">
        <v>1</v>
      </c>
      <c r="O101">
        <v>1</v>
      </c>
      <c r="P101" t="s">
        <v>118</v>
      </c>
    </row>
    <row r="102" spans="1:16" x14ac:dyDescent="0.25">
      <c r="A102" t="s">
        <v>92</v>
      </c>
      <c r="B102" t="s">
        <v>119</v>
      </c>
      <c r="C102">
        <v>0</v>
      </c>
      <c r="D102">
        <v>4.8402063846588126</v>
      </c>
      <c r="E102">
        <v>1</v>
      </c>
      <c r="F102">
        <v>1</v>
      </c>
      <c r="G102">
        <v>1</v>
      </c>
      <c r="H102">
        <v>1</v>
      </c>
      <c r="I102">
        <v>1</v>
      </c>
      <c r="J102">
        <v>0</v>
      </c>
      <c r="K102">
        <v>1</v>
      </c>
      <c r="L102">
        <v>1</v>
      </c>
      <c r="M102">
        <v>1</v>
      </c>
      <c r="N102">
        <v>1</v>
      </c>
      <c r="O102">
        <v>1</v>
      </c>
      <c r="P102" t="s">
        <v>120</v>
      </c>
    </row>
    <row r="103" spans="1:16" x14ac:dyDescent="0.25">
      <c r="A103" t="s">
        <v>92</v>
      </c>
      <c r="B103" t="s">
        <v>121</v>
      </c>
      <c r="C103">
        <v>0</v>
      </c>
      <c r="D103">
        <v>11.01294994354248</v>
      </c>
      <c r="E103">
        <v>1</v>
      </c>
      <c r="F103">
        <v>1</v>
      </c>
      <c r="G103">
        <v>1</v>
      </c>
      <c r="H103">
        <v>1</v>
      </c>
      <c r="I103">
        <v>1</v>
      </c>
      <c r="J103">
        <v>1</v>
      </c>
      <c r="K103">
        <v>1</v>
      </c>
      <c r="L103">
        <v>1</v>
      </c>
      <c r="M103">
        <v>1</v>
      </c>
      <c r="N103">
        <v>1</v>
      </c>
      <c r="O103">
        <v>1</v>
      </c>
    </row>
    <row r="104" spans="1:16" x14ac:dyDescent="0.25">
      <c r="A104" t="s">
        <v>92</v>
      </c>
      <c r="B104" t="s">
        <v>122</v>
      </c>
      <c r="C104">
        <v>0</v>
      </c>
      <c r="D104">
        <v>12.490943670272831</v>
      </c>
      <c r="E104">
        <v>1</v>
      </c>
      <c r="F104">
        <v>1</v>
      </c>
      <c r="G104">
        <v>1</v>
      </c>
      <c r="H104">
        <v>1</v>
      </c>
      <c r="I104">
        <v>1</v>
      </c>
      <c r="J104">
        <v>0</v>
      </c>
      <c r="K104">
        <v>1</v>
      </c>
      <c r="L104">
        <v>1</v>
      </c>
      <c r="M104">
        <v>1</v>
      </c>
      <c r="N104">
        <v>1</v>
      </c>
      <c r="O104">
        <v>1</v>
      </c>
      <c r="P104" t="s">
        <v>123</v>
      </c>
    </row>
    <row r="105" spans="1:16" x14ac:dyDescent="0.25">
      <c r="A105" t="s">
        <v>92</v>
      </c>
      <c r="B105" t="s">
        <v>124</v>
      </c>
      <c r="C105">
        <v>0</v>
      </c>
      <c r="D105">
        <v>13.7073860168457</v>
      </c>
      <c r="E105">
        <v>1</v>
      </c>
      <c r="F105">
        <v>1</v>
      </c>
      <c r="G105">
        <v>1</v>
      </c>
      <c r="H105">
        <v>0</v>
      </c>
      <c r="I105">
        <v>1</v>
      </c>
      <c r="J105">
        <v>0</v>
      </c>
      <c r="K105">
        <v>1</v>
      </c>
      <c r="L105">
        <v>1</v>
      </c>
      <c r="M105">
        <v>1</v>
      </c>
      <c r="N105">
        <v>1</v>
      </c>
      <c r="O105">
        <v>1</v>
      </c>
      <c r="P105" t="s">
        <v>125</v>
      </c>
    </row>
    <row r="106" spans="1:16" x14ac:dyDescent="0.25">
      <c r="A106" t="s">
        <v>92</v>
      </c>
      <c r="B106" t="s">
        <v>126</v>
      </c>
      <c r="C106">
        <v>0</v>
      </c>
      <c r="D106">
        <v>8.1061515808105469</v>
      </c>
      <c r="E106">
        <v>1</v>
      </c>
      <c r="F106">
        <v>1</v>
      </c>
      <c r="G106">
        <v>1</v>
      </c>
      <c r="H106">
        <v>1</v>
      </c>
      <c r="I106">
        <v>1</v>
      </c>
      <c r="J106">
        <v>1</v>
      </c>
      <c r="K106">
        <v>1</v>
      </c>
      <c r="L106">
        <v>0</v>
      </c>
      <c r="M106">
        <v>0</v>
      </c>
      <c r="N106">
        <v>1</v>
      </c>
      <c r="O106">
        <v>1</v>
      </c>
      <c r="P106" t="s">
        <v>127</v>
      </c>
    </row>
    <row r="107" spans="1:16" x14ac:dyDescent="0.25">
      <c r="A107" t="s">
        <v>92</v>
      </c>
      <c r="B107" t="s">
        <v>128</v>
      </c>
      <c r="C107">
        <v>0</v>
      </c>
      <c r="D107">
        <v>10.39676833152771</v>
      </c>
      <c r="E107">
        <v>0</v>
      </c>
      <c r="F107" t="s">
        <v>22</v>
      </c>
      <c r="G107" t="s">
        <v>22</v>
      </c>
      <c r="H107" t="s">
        <v>22</v>
      </c>
      <c r="I107" t="s">
        <v>22</v>
      </c>
      <c r="J107" t="s">
        <v>22</v>
      </c>
      <c r="K107" t="s">
        <v>22</v>
      </c>
      <c r="L107" t="s">
        <v>22</v>
      </c>
      <c r="M107" t="s">
        <v>22</v>
      </c>
      <c r="N107" t="s">
        <v>22</v>
      </c>
      <c r="O107" t="s">
        <v>22</v>
      </c>
      <c r="P107" t="s">
        <v>129</v>
      </c>
    </row>
    <row r="108" spans="1:16" x14ac:dyDescent="0.25">
      <c r="A108" t="s">
        <v>92</v>
      </c>
      <c r="B108" t="s">
        <v>130</v>
      </c>
      <c r="C108">
        <v>0</v>
      </c>
      <c r="D108">
        <v>10.941292762756349</v>
      </c>
      <c r="E108">
        <v>1</v>
      </c>
      <c r="F108">
        <v>1</v>
      </c>
      <c r="G108">
        <v>1</v>
      </c>
      <c r="H108">
        <v>1</v>
      </c>
      <c r="I108">
        <v>1</v>
      </c>
      <c r="J108">
        <v>1</v>
      </c>
      <c r="K108">
        <v>1</v>
      </c>
      <c r="L108">
        <v>1</v>
      </c>
      <c r="M108">
        <v>1</v>
      </c>
      <c r="N108">
        <v>1</v>
      </c>
      <c r="O108">
        <v>1</v>
      </c>
    </row>
    <row r="109" spans="1:16" x14ac:dyDescent="0.25">
      <c r="A109" t="s">
        <v>92</v>
      </c>
      <c r="B109" t="s">
        <v>131</v>
      </c>
      <c r="C109">
        <v>0</v>
      </c>
      <c r="D109">
        <v>12.73178815841675</v>
      </c>
      <c r="E109">
        <v>1</v>
      </c>
      <c r="F109">
        <v>1</v>
      </c>
      <c r="G109">
        <v>1</v>
      </c>
      <c r="H109">
        <v>1</v>
      </c>
      <c r="I109">
        <v>1</v>
      </c>
      <c r="J109">
        <v>0</v>
      </c>
      <c r="K109">
        <v>0</v>
      </c>
      <c r="L109">
        <v>1</v>
      </c>
      <c r="M109">
        <v>1</v>
      </c>
      <c r="N109">
        <v>1</v>
      </c>
      <c r="O109">
        <v>1</v>
      </c>
      <c r="P109" t="s">
        <v>132</v>
      </c>
    </row>
    <row r="110" spans="1:16" x14ac:dyDescent="0.25">
      <c r="A110" t="s">
        <v>92</v>
      </c>
      <c r="B110" t="s">
        <v>133</v>
      </c>
      <c r="C110">
        <v>0</v>
      </c>
      <c r="D110">
        <v>4.4788780212402344</v>
      </c>
      <c r="E110">
        <v>1</v>
      </c>
      <c r="F110">
        <v>1</v>
      </c>
      <c r="G110">
        <v>1</v>
      </c>
      <c r="H110">
        <v>1</v>
      </c>
      <c r="I110">
        <v>1</v>
      </c>
      <c r="J110">
        <v>0</v>
      </c>
      <c r="K110">
        <v>1</v>
      </c>
      <c r="L110">
        <v>1</v>
      </c>
      <c r="M110">
        <v>1</v>
      </c>
      <c r="N110">
        <v>1</v>
      </c>
      <c r="O110">
        <v>1</v>
      </c>
      <c r="P110" t="s">
        <v>134</v>
      </c>
    </row>
    <row r="111" spans="1:16" x14ac:dyDescent="0.25">
      <c r="A111" t="s">
        <v>92</v>
      </c>
      <c r="B111" t="s">
        <v>135</v>
      </c>
      <c r="C111">
        <v>0</v>
      </c>
      <c r="D111">
        <v>6.1626796722412109</v>
      </c>
      <c r="E111">
        <v>1</v>
      </c>
      <c r="F111">
        <v>1</v>
      </c>
      <c r="G111">
        <v>1</v>
      </c>
      <c r="H111">
        <v>1</v>
      </c>
      <c r="I111">
        <v>1</v>
      </c>
      <c r="J111">
        <v>0</v>
      </c>
      <c r="K111">
        <v>0</v>
      </c>
      <c r="L111">
        <v>0</v>
      </c>
      <c r="M111">
        <v>1</v>
      </c>
      <c r="N111">
        <v>1</v>
      </c>
      <c r="O111">
        <v>1</v>
      </c>
      <c r="P111" t="s">
        <v>136</v>
      </c>
    </row>
    <row r="112" spans="1:16" x14ac:dyDescent="0.25">
      <c r="A112" t="s">
        <v>92</v>
      </c>
      <c r="B112" t="s">
        <v>137</v>
      </c>
      <c r="C112">
        <v>0</v>
      </c>
      <c r="D112">
        <v>3.010879278182983</v>
      </c>
      <c r="E112">
        <v>1</v>
      </c>
      <c r="F112">
        <v>1</v>
      </c>
      <c r="G112">
        <v>1</v>
      </c>
      <c r="H112">
        <v>1</v>
      </c>
      <c r="I112">
        <v>1</v>
      </c>
      <c r="J112">
        <v>1</v>
      </c>
      <c r="K112">
        <v>1</v>
      </c>
      <c r="L112">
        <v>1</v>
      </c>
      <c r="M112">
        <v>1</v>
      </c>
      <c r="N112">
        <v>1</v>
      </c>
      <c r="O112">
        <v>1</v>
      </c>
    </row>
    <row r="113" spans="1:16" x14ac:dyDescent="0.25">
      <c r="A113" t="s">
        <v>92</v>
      </c>
      <c r="B113" t="s">
        <v>138</v>
      </c>
      <c r="C113">
        <v>0</v>
      </c>
      <c r="D113">
        <v>5.0333123207092294</v>
      </c>
      <c r="E113">
        <v>1</v>
      </c>
      <c r="F113">
        <v>1</v>
      </c>
      <c r="G113">
        <v>1</v>
      </c>
      <c r="H113">
        <v>1</v>
      </c>
      <c r="I113">
        <v>1</v>
      </c>
      <c r="J113">
        <v>0</v>
      </c>
      <c r="K113">
        <v>1</v>
      </c>
      <c r="L113">
        <v>1</v>
      </c>
      <c r="M113">
        <v>1</v>
      </c>
      <c r="N113">
        <v>1</v>
      </c>
      <c r="O113">
        <v>1</v>
      </c>
      <c r="P113" t="s">
        <v>139</v>
      </c>
    </row>
    <row r="114" spans="1:16" x14ac:dyDescent="0.25">
      <c r="A114" t="s">
        <v>140</v>
      </c>
      <c r="B114" t="s">
        <v>17</v>
      </c>
      <c r="C114">
        <v>0</v>
      </c>
      <c r="D114">
        <v>2.8199255466461182</v>
      </c>
      <c r="E114">
        <v>1</v>
      </c>
      <c r="F114">
        <v>1</v>
      </c>
      <c r="G114">
        <v>1</v>
      </c>
      <c r="H114">
        <v>1</v>
      </c>
      <c r="I114">
        <v>1</v>
      </c>
      <c r="J114">
        <v>1</v>
      </c>
      <c r="K114">
        <v>1</v>
      </c>
      <c r="L114">
        <v>1</v>
      </c>
      <c r="M114">
        <v>1</v>
      </c>
      <c r="N114">
        <v>1</v>
      </c>
      <c r="O114">
        <v>1</v>
      </c>
    </row>
    <row r="115" spans="1:16" x14ac:dyDescent="0.25">
      <c r="A115" t="s">
        <v>140</v>
      </c>
      <c r="B115" t="s">
        <v>19</v>
      </c>
      <c r="C115">
        <v>0</v>
      </c>
      <c r="D115">
        <v>2.9812886714935298</v>
      </c>
      <c r="E115">
        <v>1</v>
      </c>
      <c r="F115">
        <v>1</v>
      </c>
      <c r="G115">
        <v>1</v>
      </c>
      <c r="H115">
        <v>1</v>
      </c>
      <c r="I115">
        <v>1</v>
      </c>
      <c r="J115">
        <v>1</v>
      </c>
      <c r="K115">
        <v>1</v>
      </c>
      <c r="L115">
        <v>1</v>
      </c>
      <c r="M115">
        <v>1</v>
      </c>
      <c r="N115">
        <v>1</v>
      </c>
      <c r="O115">
        <v>1</v>
      </c>
    </row>
    <row r="116" spans="1:16" x14ac:dyDescent="0.25">
      <c r="A116" t="s">
        <v>140</v>
      </c>
      <c r="B116" t="s">
        <v>20</v>
      </c>
      <c r="C116">
        <v>0</v>
      </c>
      <c r="D116">
        <v>7.1345064640045166</v>
      </c>
      <c r="E116">
        <v>0</v>
      </c>
      <c r="F116" t="s">
        <v>22</v>
      </c>
      <c r="G116" t="s">
        <v>22</v>
      </c>
      <c r="H116" t="s">
        <v>22</v>
      </c>
      <c r="I116" t="s">
        <v>22</v>
      </c>
      <c r="J116" t="s">
        <v>22</v>
      </c>
      <c r="K116" t="s">
        <v>22</v>
      </c>
      <c r="L116" t="s">
        <v>22</v>
      </c>
      <c r="M116" t="s">
        <v>22</v>
      </c>
      <c r="N116" t="s">
        <v>22</v>
      </c>
      <c r="O116" t="s">
        <v>22</v>
      </c>
      <c r="P116" t="s">
        <v>141</v>
      </c>
    </row>
    <row r="117" spans="1:16" x14ac:dyDescent="0.25">
      <c r="A117" t="s">
        <v>140</v>
      </c>
      <c r="B117" t="s">
        <v>21</v>
      </c>
      <c r="C117">
        <v>0</v>
      </c>
      <c r="D117">
        <v>2.938963890075684</v>
      </c>
      <c r="E117">
        <v>1</v>
      </c>
      <c r="F117">
        <v>1</v>
      </c>
      <c r="G117">
        <v>1</v>
      </c>
      <c r="H117">
        <v>1</v>
      </c>
      <c r="I117">
        <v>1</v>
      </c>
      <c r="J117">
        <v>1</v>
      </c>
      <c r="K117">
        <v>1</v>
      </c>
      <c r="L117">
        <v>1</v>
      </c>
      <c r="M117">
        <v>1</v>
      </c>
      <c r="N117">
        <v>1</v>
      </c>
      <c r="O117">
        <v>1</v>
      </c>
    </row>
    <row r="118" spans="1:16" x14ac:dyDescent="0.25">
      <c r="A118" t="s">
        <v>140</v>
      </c>
      <c r="B118" t="s">
        <v>24</v>
      </c>
      <c r="C118">
        <v>0</v>
      </c>
      <c r="D118">
        <v>7.201972484588623</v>
      </c>
      <c r="E118">
        <v>1</v>
      </c>
      <c r="F118">
        <v>1</v>
      </c>
      <c r="G118">
        <v>0</v>
      </c>
      <c r="H118" t="s">
        <v>22</v>
      </c>
      <c r="I118">
        <v>1</v>
      </c>
      <c r="J118">
        <v>1</v>
      </c>
      <c r="K118">
        <v>1</v>
      </c>
      <c r="L118">
        <v>1</v>
      </c>
      <c r="M118">
        <v>1</v>
      </c>
      <c r="N118">
        <v>1</v>
      </c>
      <c r="O118">
        <v>1</v>
      </c>
      <c r="P118" t="s">
        <v>142</v>
      </c>
    </row>
    <row r="119" spans="1:16" x14ac:dyDescent="0.25">
      <c r="A119" t="s">
        <v>140</v>
      </c>
      <c r="B119" t="s">
        <v>25</v>
      </c>
      <c r="C119">
        <v>0</v>
      </c>
      <c r="D119">
        <v>12.128669261932369</v>
      </c>
      <c r="E119">
        <v>1</v>
      </c>
      <c r="F119">
        <v>0</v>
      </c>
      <c r="G119">
        <v>1</v>
      </c>
      <c r="H119" t="s">
        <v>22</v>
      </c>
      <c r="I119">
        <v>1</v>
      </c>
      <c r="J119" t="s">
        <v>22</v>
      </c>
      <c r="K119">
        <v>1</v>
      </c>
      <c r="L119">
        <v>1</v>
      </c>
      <c r="M119">
        <v>0</v>
      </c>
      <c r="N119">
        <v>1</v>
      </c>
      <c r="O119">
        <v>1</v>
      </c>
      <c r="P119" t="s">
        <v>143</v>
      </c>
    </row>
    <row r="120" spans="1:16" x14ac:dyDescent="0.25">
      <c r="A120" t="s">
        <v>140</v>
      </c>
      <c r="B120" t="s">
        <v>26</v>
      </c>
      <c r="C120">
        <v>0</v>
      </c>
      <c r="D120">
        <v>10.38467574119568</v>
      </c>
      <c r="E120">
        <v>1</v>
      </c>
      <c r="F120">
        <v>1</v>
      </c>
      <c r="G120">
        <v>0</v>
      </c>
      <c r="H120" t="s">
        <v>22</v>
      </c>
      <c r="I120">
        <v>1</v>
      </c>
      <c r="J120">
        <v>1</v>
      </c>
      <c r="K120">
        <v>1</v>
      </c>
      <c r="L120">
        <v>1</v>
      </c>
      <c r="M120">
        <v>1</v>
      </c>
      <c r="N120">
        <v>1</v>
      </c>
      <c r="O120">
        <v>1</v>
      </c>
      <c r="P120" t="s">
        <v>144</v>
      </c>
    </row>
    <row r="121" spans="1:16" x14ac:dyDescent="0.25">
      <c r="A121" t="s">
        <v>140</v>
      </c>
      <c r="B121" t="s">
        <v>27</v>
      </c>
      <c r="C121">
        <v>0</v>
      </c>
      <c r="D121">
        <v>3.1217091083526611</v>
      </c>
      <c r="E121">
        <v>1</v>
      </c>
      <c r="F121">
        <v>1</v>
      </c>
      <c r="G121">
        <v>1</v>
      </c>
      <c r="H121">
        <v>1</v>
      </c>
      <c r="I121">
        <v>1</v>
      </c>
      <c r="J121">
        <v>1</v>
      </c>
      <c r="K121">
        <v>1</v>
      </c>
      <c r="L121">
        <v>1</v>
      </c>
      <c r="M121">
        <v>1</v>
      </c>
      <c r="N121">
        <v>1</v>
      </c>
      <c r="O121">
        <v>1</v>
      </c>
    </row>
    <row r="122" spans="1:16" x14ac:dyDescent="0.25">
      <c r="A122" t="s">
        <v>140</v>
      </c>
      <c r="B122" t="s">
        <v>28</v>
      </c>
      <c r="C122">
        <v>0</v>
      </c>
      <c r="D122">
        <v>11.97790265083313</v>
      </c>
      <c r="E122">
        <v>1</v>
      </c>
      <c r="F122">
        <v>1</v>
      </c>
      <c r="G122">
        <v>1</v>
      </c>
      <c r="H122">
        <v>0</v>
      </c>
      <c r="I122">
        <v>1</v>
      </c>
      <c r="J122">
        <v>1</v>
      </c>
      <c r="K122">
        <v>1</v>
      </c>
      <c r="L122">
        <v>1</v>
      </c>
      <c r="M122">
        <v>1</v>
      </c>
      <c r="N122">
        <v>1</v>
      </c>
      <c r="O122">
        <v>1</v>
      </c>
      <c r="P122" t="s">
        <v>145</v>
      </c>
    </row>
    <row r="123" spans="1:16" x14ac:dyDescent="0.25">
      <c r="A123" t="s">
        <v>140</v>
      </c>
      <c r="B123" t="s">
        <v>29</v>
      </c>
      <c r="C123">
        <v>0</v>
      </c>
      <c r="D123">
        <v>4.9011662006378174</v>
      </c>
      <c r="E123">
        <v>1</v>
      </c>
      <c r="F123">
        <v>0</v>
      </c>
      <c r="G123">
        <v>1</v>
      </c>
      <c r="H123" t="s">
        <v>22</v>
      </c>
      <c r="I123">
        <v>1</v>
      </c>
      <c r="J123" t="s">
        <v>22</v>
      </c>
      <c r="K123">
        <v>1</v>
      </c>
      <c r="L123">
        <v>1</v>
      </c>
      <c r="M123">
        <v>1</v>
      </c>
      <c r="N123">
        <v>1</v>
      </c>
      <c r="O123">
        <v>1</v>
      </c>
      <c r="P123" t="s">
        <v>146</v>
      </c>
    </row>
    <row r="124" spans="1:16" x14ac:dyDescent="0.25">
      <c r="A124" t="s">
        <v>140</v>
      </c>
      <c r="B124" t="s">
        <v>30</v>
      </c>
      <c r="C124">
        <v>0</v>
      </c>
      <c r="D124">
        <v>10.606999158859249</v>
      </c>
      <c r="E124">
        <v>1</v>
      </c>
      <c r="F124">
        <v>1</v>
      </c>
      <c r="G124">
        <v>1</v>
      </c>
      <c r="H124">
        <v>1</v>
      </c>
      <c r="I124">
        <v>1</v>
      </c>
      <c r="J124">
        <v>1</v>
      </c>
      <c r="K124">
        <v>1</v>
      </c>
      <c r="L124">
        <v>1</v>
      </c>
      <c r="M124">
        <v>1</v>
      </c>
      <c r="N124">
        <v>1</v>
      </c>
      <c r="O124">
        <v>1</v>
      </c>
    </row>
    <row r="125" spans="1:16" x14ac:dyDescent="0.25">
      <c r="A125" t="s">
        <v>140</v>
      </c>
      <c r="B125" t="s">
        <v>32</v>
      </c>
      <c r="C125">
        <v>0</v>
      </c>
      <c r="D125">
        <v>9.5450980663299561</v>
      </c>
      <c r="E125">
        <v>1</v>
      </c>
      <c r="F125">
        <v>1</v>
      </c>
      <c r="G125">
        <v>1</v>
      </c>
      <c r="H125">
        <v>1</v>
      </c>
      <c r="I125">
        <v>1</v>
      </c>
      <c r="J125">
        <v>1</v>
      </c>
      <c r="K125">
        <v>1</v>
      </c>
      <c r="L125">
        <v>1</v>
      </c>
      <c r="M125">
        <v>1</v>
      </c>
      <c r="N125">
        <v>1</v>
      </c>
      <c r="O125">
        <v>1</v>
      </c>
    </row>
    <row r="126" spans="1:16" x14ac:dyDescent="0.25">
      <c r="A126" t="s">
        <v>140</v>
      </c>
      <c r="B126" t="s">
        <v>33</v>
      </c>
      <c r="C126">
        <v>0</v>
      </c>
      <c r="D126">
        <v>3.0609700679779048</v>
      </c>
      <c r="E126">
        <v>1</v>
      </c>
      <c r="F126">
        <v>1</v>
      </c>
      <c r="G126">
        <v>1</v>
      </c>
      <c r="H126">
        <v>1</v>
      </c>
      <c r="I126">
        <v>1</v>
      </c>
      <c r="J126">
        <v>1</v>
      </c>
      <c r="K126">
        <v>1</v>
      </c>
      <c r="L126">
        <v>1</v>
      </c>
      <c r="M126">
        <v>1</v>
      </c>
      <c r="N126">
        <v>1</v>
      </c>
      <c r="O126">
        <v>1</v>
      </c>
    </row>
    <row r="127" spans="1:16" x14ac:dyDescent="0.25">
      <c r="A127" t="s">
        <v>140</v>
      </c>
      <c r="B127" t="s">
        <v>35</v>
      </c>
      <c r="C127">
        <v>0</v>
      </c>
      <c r="D127">
        <v>11.139956474304199</v>
      </c>
      <c r="E127">
        <v>1</v>
      </c>
      <c r="F127">
        <v>1</v>
      </c>
      <c r="G127">
        <v>1</v>
      </c>
      <c r="H127">
        <v>1</v>
      </c>
      <c r="I127">
        <v>1</v>
      </c>
      <c r="J127">
        <v>1</v>
      </c>
      <c r="K127">
        <v>1</v>
      </c>
      <c r="L127">
        <v>1</v>
      </c>
      <c r="M127">
        <v>1</v>
      </c>
      <c r="N127">
        <v>1</v>
      </c>
      <c r="O127">
        <v>1</v>
      </c>
    </row>
    <row r="128" spans="1:16" x14ac:dyDescent="0.25">
      <c r="A128" t="s">
        <v>140</v>
      </c>
      <c r="B128" t="s">
        <v>36</v>
      </c>
      <c r="C128">
        <v>0</v>
      </c>
      <c r="D128">
        <v>11.411882638931271</v>
      </c>
      <c r="E128">
        <v>1</v>
      </c>
      <c r="F128">
        <v>1</v>
      </c>
      <c r="G128">
        <v>1</v>
      </c>
      <c r="H128">
        <v>1</v>
      </c>
      <c r="I128">
        <v>1</v>
      </c>
      <c r="J128">
        <v>1</v>
      </c>
      <c r="K128">
        <v>1</v>
      </c>
      <c r="L128">
        <v>1</v>
      </c>
      <c r="M128">
        <v>1</v>
      </c>
      <c r="N128">
        <v>1</v>
      </c>
      <c r="O128">
        <v>1</v>
      </c>
    </row>
    <row r="129" spans="1:16" x14ac:dyDescent="0.25">
      <c r="A129" t="s">
        <v>140</v>
      </c>
      <c r="B129" t="s">
        <v>38</v>
      </c>
      <c r="C129">
        <v>0</v>
      </c>
      <c r="D129">
        <v>3.007241010665894</v>
      </c>
      <c r="E129">
        <v>1</v>
      </c>
      <c r="F129">
        <v>1</v>
      </c>
      <c r="G129">
        <v>1</v>
      </c>
      <c r="H129">
        <v>1</v>
      </c>
      <c r="I129">
        <v>1</v>
      </c>
      <c r="J129">
        <v>1</v>
      </c>
      <c r="K129">
        <v>1</v>
      </c>
      <c r="L129">
        <v>1</v>
      </c>
      <c r="M129">
        <v>1</v>
      </c>
      <c r="N129">
        <v>1</v>
      </c>
      <c r="O129">
        <v>1</v>
      </c>
    </row>
    <row r="130" spans="1:16" x14ac:dyDescent="0.25">
      <c r="A130" t="s">
        <v>140</v>
      </c>
      <c r="B130" t="s">
        <v>39</v>
      </c>
      <c r="C130">
        <v>0</v>
      </c>
      <c r="D130">
        <v>10.019511222839361</v>
      </c>
      <c r="E130">
        <v>1</v>
      </c>
      <c r="F130">
        <v>1</v>
      </c>
      <c r="G130">
        <v>1</v>
      </c>
      <c r="H130">
        <v>1</v>
      </c>
      <c r="I130">
        <v>1</v>
      </c>
      <c r="J130">
        <v>1</v>
      </c>
      <c r="K130">
        <v>1</v>
      </c>
      <c r="L130">
        <v>1</v>
      </c>
      <c r="M130">
        <v>1</v>
      </c>
      <c r="N130">
        <v>1</v>
      </c>
      <c r="O130">
        <v>1</v>
      </c>
    </row>
    <row r="131" spans="1:16" x14ac:dyDescent="0.25">
      <c r="A131" t="s">
        <v>140</v>
      </c>
      <c r="B131" t="s">
        <v>40</v>
      </c>
      <c r="C131">
        <v>0</v>
      </c>
      <c r="D131">
        <v>11.03609299659729</v>
      </c>
      <c r="E131">
        <v>1</v>
      </c>
      <c r="F131">
        <v>1</v>
      </c>
      <c r="G131">
        <v>1</v>
      </c>
      <c r="H131">
        <v>1</v>
      </c>
      <c r="I131">
        <v>1</v>
      </c>
      <c r="J131">
        <v>1</v>
      </c>
      <c r="K131">
        <v>1</v>
      </c>
      <c r="L131">
        <v>1</v>
      </c>
      <c r="M131">
        <v>1</v>
      </c>
      <c r="N131">
        <v>1</v>
      </c>
      <c r="O131">
        <v>1</v>
      </c>
    </row>
    <row r="132" spans="1:16" x14ac:dyDescent="0.25">
      <c r="A132" t="s">
        <v>140</v>
      </c>
      <c r="B132" t="s">
        <v>41</v>
      </c>
      <c r="C132">
        <v>0</v>
      </c>
      <c r="D132">
        <v>10.021785020828251</v>
      </c>
      <c r="E132">
        <v>1</v>
      </c>
      <c r="F132">
        <v>1</v>
      </c>
      <c r="G132">
        <v>1</v>
      </c>
      <c r="H132">
        <v>1</v>
      </c>
      <c r="I132">
        <v>1</v>
      </c>
      <c r="J132">
        <v>1</v>
      </c>
      <c r="K132">
        <v>1</v>
      </c>
      <c r="L132">
        <v>1</v>
      </c>
      <c r="M132">
        <v>1</v>
      </c>
      <c r="N132">
        <v>1</v>
      </c>
      <c r="O132">
        <v>1</v>
      </c>
    </row>
    <row r="133" spans="1:16" x14ac:dyDescent="0.25">
      <c r="A133" t="s">
        <v>140</v>
      </c>
      <c r="B133" t="s">
        <v>43</v>
      </c>
      <c r="C133">
        <v>0</v>
      </c>
      <c r="D133">
        <v>5.3296158313751221</v>
      </c>
      <c r="E133">
        <v>1</v>
      </c>
      <c r="F133">
        <v>1</v>
      </c>
      <c r="G133">
        <v>1</v>
      </c>
      <c r="H133">
        <v>1</v>
      </c>
      <c r="I133">
        <v>1</v>
      </c>
      <c r="J133">
        <v>1</v>
      </c>
      <c r="K133">
        <v>0</v>
      </c>
      <c r="L133">
        <v>1</v>
      </c>
      <c r="M133">
        <v>1</v>
      </c>
      <c r="N133">
        <v>1</v>
      </c>
      <c r="O133">
        <v>1</v>
      </c>
      <c r="P133" t="s">
        <v>147</v>
      </c>
    </row>
    <row r="134" spans="1:16" x14ac:dyDescent="0.25">
      <c r="A134" t="s">
        <v>140</v>
      </c>
      <c r="B134" t="s">
        <v>44</v>
      </c>
      <c r="C134">
        <v>0</v>
      </c>
      <c r="D134">
        <v>5.3416457176208496</v>
      </c>
      <c r="E134">
        <v>0</v>
      </c>
      <c r="F134" t="s">
        <v>22</v>
      </c>
      <c r="G134" t="s">
        <v>22</v>
      </c>
      <c r="H134" t="s">
        <v>22</v>
      </c>
      <c r="I134" t="s">
        <v>22</v>
      </c>
      <c r="J134" t="s">
        <v>22</v>
      </c>
      <c r="K134" t="s">
        <v>22</v>
      </c>
      <c r="L134" t="s">
        <v>22</v>
      </c>
      <c r="M134" t="s">
        <v>22</v>
      </c>
      <c r="N134" t="s">
        <v>22</v>
      </c>
      <c r="O134" t="s">
        <v>22</v>
      </c>
      <c r="P134" t="s">
        <v>148</v>
      </c>
    </row>
    <row r="135" spans="1:16" x14ac:dyDescent="0.25">
      <c r="A135" t="s">
        <v>140</v>
      </c>
      <c r="B135" t="s">
        <v>45</v>
      </c>
      <c r="C135">
        <v>0</v>
      </c>
      <c r="D135">
        <v>11.23427891731262</v>
      </c>
      <c r="E135">
        <v>1</v>
      </c>
      <c r="F135">
        <v>1</v>
      </c>
      <c r="G135">
        <v>1</v>
      </c>
      <c r="H135">
        <v>1</v>
      </c>
      <c r="I135">
        <v>1</v>
      </c>
      <c r="J135">
        <v>1</v>
      </c>
      <c r="K135">
        <v>1</v>
      </c>
      <c r="L135">
        <v>1</v>
      </c>
      <c r="M135">
        <v>1</v>
      </c>
      <c r="N135">
        <v>1</v>
      </c>
      <c r="O135">
        <v>1</v>
      </c>
    </row>
    <row r="136" spans="1:16" x14ac:dyDescent="0.25">
      <c r="A136" t="s">
        <v>140</v>
      </c>
      <c r="B136" t="s">
        <v>46</v>
      </c>
      <c r="C136">
        <v>0</v>
      </c>
      <c r="D136">
        <v>10.07950711250305</v>
      </c>
      <c r="E136">
        <v>1</v>
      </c>
      <c r="F136">
        <v>1</v>
      </c>
      <c r="G136">
        <v>1</v>
      </c>
      <c r="H136">
        <v>1</v>
      </c>
      <c r="I136">
        <v>1</v>
      </c>
      <c r="J136">
        <v>1</v>
      </c>
      <c r="K136">
        <v>1</v>
      </c>
      <c r="L136">
        <v>1</v>
      </c>
      <c r="M136">
        <v>1</v>
      </c>
      <c r="N136">
        <v>1</v>
      </c>
      <c r="O136">
        <v>1</v>
      </c>
    </row>
    <row r="137" spans="1:16" x14ac:dyDescent="0.25">
      <c r="A137" t="s">
        <v>140</v>
      </c>
      <c r="B137" t="s">
        <v>47</v>
      </c>
      <c r="C137">
        <v>0</v>
      </c>
      <c r="D137">
        <v>6.7255356311798096</v>
      </c>
      <c r="E137">
        <v>0</v>
      </c>
      <c r="F137" t="s">
        <v>22</v>
      </c>
      <c r="G137" t="s">
        <v>22</v>
      </c>
      <c r="H137" t="s">
        <v>22</v>
      </c>
      <c r="I137" t="s">
        <v>22</v>
      </c>
      <c r="J137" t="s">
        <v>22</v>
      </c>
      <c r="K137" t="s">
        <v>22</v>
      </c>
      <c r="L137" t="s">
        <v>22</v>
      </c>
      <c r="M137" t="s">
        <v>22</v>
      </c>
      <c r="N137" t="s">
        <v>22</v>
      </c>
      <c r="O137" t="s">
        <v>22</v>
      </c>
      <c r="P137" t="s">
        <v>149</v>
      </c>
    </row>
    <row r="138" spans="1:16" x14ac:dyDescent="0.25">
      <c r="A138" t="s">
        <v>140</v>
      </c>
      <c r="B138" t="s">
        <v>48</v>
      </c>
      <c r="C138">
        <v>0</v>
      </c>
      <c r="D138">
        <v>6.6662185192108154</v>
      </c>
      <c r="E138">
        <v>1</v>
      </c>
      <c r="F138">
        <v>0</v>
      </c>
      <c r="G138">
        <v>1</v>
      </c>
      <c r="H138" t="s">
        <v>22</v>
      </c>
      <c r="I138">
        <v>1</v>
      </c>
      <c r="J138" t="s">
        <v>22</v>
      </c>
      <c r="K138">
        <v>1</v>
      </c>
      <c r="L138">
        <v>1</v>
      </c>
      <c r="M138">
        <v>1</v>
      </c>
      <c r="N138">
        <v>1</v>
      </c>
      <c r="O138">
        <v>1</v>
      </c>
      <c r="P138" t="s">
        <v>150</v>
      </c>
    </row>
    <row r="139" spans="1:16" x14ac:dyDescent="0.25">
      <c r="A139" t="s">
        <v>140</v>
      </c>
      <c r="B139" t="s">
        <v>49</v>
      </c>
      <c r="C139">
        <v>0</v>
      </c>
      <c r="D139">
        <v>8.9121928215026855</v>
      </c>
      <c r="E139">
        <v>0</v>
      </c>
      <c r="F139" t="s">
        <v>22</v>
      </c>
      <c r="G139" t="s">
        <v>22</v>
      </c>
      <c r="H139" t="s">
        <v>22</v>
      </c>
      <c r="I139" t="s">
        <v>22</v>
      </c>
      <c r="J139" t="s">
        <v>22</v>
      </c>
      <c r="K139" t="s">
        <v>22</v>
      </c>
      <c r="L139" t="s">
        <v>22</v>
      </c>
      <c r="M139" t="s">
        <v>22</v>
      </c>
      <c r="N139" t="s">
        <v>22</v>
      </c>
      <c r="O139" t="s">
        <v>22</v>
      </c>
      <c r="P139" t="s">
        <v>151</v>
      </c>
    </row>
    <row r="140" spans="1:16" x14ac:dyDescent="0.25">
      <c r="A140" t="s">
        <v>140</v>
      </c>
      <c r="B140" t="s">
        <v>51</v>
      </c>
      <c r="C140">
        <v>0</v>
      </c>
      <c r="D140">
        <v>9.6216037273406982</v>
      </c>
      <c r="E140">
        <v>1</v>
      </c>
      <c r="F140">
        <v>0</v>
      </c>
      <c r="G140">
        <v>1</v>
      </c>
      <c r="H140" t="s">
        <v>22</v>
      </c>
      <c r="I140">
        <v>1</v>
      </c>
      <c r="J140" t="s">
        <v>22</v>
      </c>
      <c r="K140">
        <v>1</v>
      </c>
      <c r="L140">
        <v>1</v>
      </c>
      <c r="M140">
        <v>1</v>
      </c>
      <c r="N140">
        <v>1</v>
      </c>
      <c r="O140">
        <v>1</v>
      </c>
      <c r="P140" t="s">
        <v>152</v>
      </c>
    </row>
    <row r="141" spans="1:16" x14ac:dyDescent="0.25">
      <c r="A141" t="s">
        <v>140</v>
      </c>
      <c r="B141" t="s">
        <v>53</v>
      </c>
      <c r="C141">
        <v>0</v>
      </c>
      <c r="D141">
        <v>9.7421236038208008</v>
      </c>
      <c r="E141">
        <v>1</v>
      </c>
      <c r="F141">
        <v>1</v>
      </c>
      <c r="G141">
        <v>1</v>
      </c>
      <c r="H141">
        <v>1</v>
      </c>
      <c r="I141">
        <v>1</v>
      </c>
      <c r="J141">
        <v>1</v>
      </c>
      <c r="K141">
        <v>1</v>
      </c>
      <c r="L141">
        <v>1</v>
      </c>
      <c r="M141">
        <v>1</v>
      </c>
      <c r="N141">
        <v>1</v>
      </c>
      <c r="O141">
        <v>1</v>
      </c>
    </row>
    <row r="142" spans="1:16" x14ac:dyDescent="0.25">
      <c r="A142" t="s">
        <v>140</v>
      </c>
      <c r="B142" t="s">
        <v>54</v>
      </c>
      <c r="C142">
        <v>0</v>
      </c>
      <c r="D142">
        <v>9.3453934192657471</v>
      </c>
      <c r="E142">
        <v>1</v>
      </c>
      <c r="F142">
        <v>1</v>
      </c>
      <c r="G142">
        <v>1</v>
      </c>
      <c r="H142">
        <v>1</v>
      </c>
      <c r="I142">
        <v>1</v>
      </c>
      <c r="J142">
        <v>1</v>
      </c>
      <c r="K142">
        <v>1</v>
      </c>
      <c r="L142">
        <v>1</v>
      </c>
      <c r="M142">
        <v>1</v>
      </c>
      <c r="N142">
        <v>1</v>
      </c>
      <c r="O142">
        <v>1</v>
      </c>
    </row>
    <row r="143" spans="1:16" x14ac:dyDescent="0.25">
      <c r="A143" t="s">
        <v>140</v>
      </c>
      <c r="B143" t="s">
        <v>56</v>
      </c>
      <c r="C143">
        <v>0</v>
      </c>
      <c r="D143">
        <v>5.2234971523284912</v>
      </c>
      <c r="E143">
        <v>1</v>
      </c>
      <c r="F143">
        <v>1</v>
      </c>
      <c r="G143">
        <v>0</v>
      </c>
      <c r="H143" t="s">
        <v>22</v>
      </c>
      <c r="I143">
        <v>1</v>
      </c>
      <c r="J143">
        <v>1</v>
      </c>
      <c r="K143">
        <v>1</v>
      </c>
      <c r="L143">
        <v>1</v>
      </c>
      <c r="M143">
        <v>1</v>
      </c>
      <c r="N143">
        <v>1</v>
      </c>
      <c r="O143">
        <v>1</v>
      </c>
      <c r="P143" t="s">
        <v>153</v>
      </c>
    </row>
    <row r="144" spans="1:16" x14ac:dyDescent="0.25">
      <c r="A144" t="s">
        <v>140</v>
      </c>
      <c r="B144" t="s">
        <v>58</v>
      </c>
      <c r="C144">
        <v>0</v>
      </c>
      <c r="D144">
        <v>2.8440060615539551</v>
      </c>
      <c r="E144">
        <v>1</v>
      </c>
      <c r="F144">
        <v>1</v>
      </c>
      <c r="G144">
        <v>1</v>
      </c>
      <c r="H144">
        <v>1</v>
      </c>
      <c r="I144">
        <v>1</v>
      </c>
      <c r="J144">
        <v>1</v>
      </c>
      <c r="K144">
        <v>1</v>
      </c>
      <c r="L144">
        <v>1</v>
      </c>
      <c r="M144">
        <v>1</v>
      </c>
      <c r="N144">
        <v>1</v>
      </c>
      <c r="O144">
        <v>1</v>
      </c>
    </row>
    <row r="145" spans="1:16" x14ac:dyDescent="0.25">
      <c r="A145" t="s">
        <v>140</v>
      </c>
      <c r="B145" t="s">
        <v>60</v>
      </c>
      <c r="C145">
        <v>0</v>
      </c>
      <c r="D145">
        <v>10.1256377696991</v>
      </c>
      <c r="E145">
        <v>1</v>
      </c>
      <c r="F145">
        <v>1</v>
      </c>
      <c r="G145">
        <v>1</v>
      </c>
      <c r="H145">
        <v>1</v>
      </c>
      <c r="I145">
        <v>1</v>
      </c>
      <c r="J145">
        <v>1</v>
      </c>
      <c r="K145">
        <v>1</v>
      </c>
      <c r="L145">
        <v>1</v>
      </c>
      <c r="M145">
        <v>1</v>
      </c>
      <c r="N145">
        <v>1</v>
      </c>
      <c r="O145">
        <v>1</v>
      </c>
    </row>
    <row r="146" spans="1:16" x14ac:dyDescent="0.25">
      <c r="A146" t="s">
        <v>140</v>
      </c>
      <c r="B146" t="s">
        <v>62</v>
      </c>
      <c r="C146">
        <v>0</v>
      </c>
      <c r="D146">
        <v>7.047900915145874</v>
      </c>
      <c r="E146">
        <v>1</v>
      </c>
      <c r="F146">
        <v>1</v>
      </c>
      <c r="G146">
        <v>1</v>
      </c>
      <c r="H146">
        <v>1</v>
      </c>
      <c r="I146">
        <v>1</v>
      </c>
      <c r="J146">
        <v>1</v>
      </c>
      <c r="K146">
        <v>1</v>
      </c>
      <c r="L146">
        <v>1</v>
      </c>
      <c r="M146">
        <v>1</v>
      </c>
      <c r="N146">
        <v>1</v>
      </c>
      <c r="O146">
        <v>1</v>
      </c>
    </row>
    <row r="147" spans="1:16" x14ac:dyDescent="0.25">
      <c r="A147" t="s">
        <v>140</v>
      </c>
      <c r="B147" t="s">
        <v>64</v>
      </c>
      <c r="C147">
        <v>0</v>
      </c>
      <c r="D147">
        <v>9.6115448474884033</v>
      </c>
      <c r="E147">
        <v>1</v>
      </c>
      <c r="F147">
        <v>1</v>
      </c>
      <c r="G147">
        <v>1</v>
      </c>
      <c r="H147">
        <v>1</v>
      </c>
      <c r="I147">
        <v>1</v>
      </c>
      <c r="J147">
        <v>1</v>
      </c>
      <c r="K147">
        <v>1</v>
      </c>
      <c r="L147">
        <v>1</v>
      </c>
      <c r="M147">
        <v>1</v>
      </c>
      <c r="N147">
        <v>1</v>
      </c>
      <c r="O147">
        <v>1</v>
      </c>
    </row>
    <row r="148" spans="1:16" x14ac:dyDescent="0.25">
      <c r="A148" t="s">
        <v>140</v>
      </c>
      <c r="B148" t="s">
        <v>66</v>
      </c>
      <c r="C148">
        <v>0</v>
      </c>
      <c r="D148">
        <v>9.8597238063812256</v>
      </c>
      <c r="E148">
        <v>1</v>
      </c>
      <c r="F148">
        <v>1</v>
      </c>
      <c r="G148">
        <v>1</v>
      </c>
      <c r="H148">
        <v>1</v>
      </c>
      <c r="I148">
        <v>1</v>
      </c>
      <c r="J148">
        <v>1</v>
      </c>
      <c r="K148">
        <v>1</v>
      </c>
      <c r="L148">
        <v>1</v>
      </c>
      <c r="M148">
        <v>1</v>
      </c>
      <c r="N148">
        <v>1</v>
      </c>
      <c r="O148">
        <v>1</v>
      </c>
    </row>
    <row r="149" spans="1:16" x14ac:dyDescent="0.25">
      <c r="A149" t="s">
        <v>140</v>
      </c>
      <c r="B149" t="s">
        <v>67</v>
      </c>
      <c r="C149">
        <v>0</v>
      </c>
      <c r="D149">
        <v>9.9575855731964111</v>
      </c>
      <c r="E149">
        <v>1</v>
      </c>
      <c r="F149">
        <v>1</v>
      </c>
      <c r="G149">
        <v>1</v>
      </c>
      <c r="H149">
        <v>1</v>
      </c>
      <c r="I149">
        <v>1</v>
      </c>
      <c r="J149">
        <v>1</v>
      </c>
      <c r="K149">
        <v>1</v>
      </c>
      <c r="L149">
        <v>1</v>
      </c>
      <c r="M149">
        <v>1</v>
      </c>
      <c r="N149">
        <v>1</v>
      </c>
      <c r="O149">
        <v>1</v>
      </c>
    </row>
    <row r="150" spans="1:16" x14ac:dyDescent="0.25">
      <c r="A150" t="s">
        <v>140</v>
      </c>
      <c r="B150" t="s">
        <v>69</v>
      </c>
      <c r="C150">
        <v>0</v>
      </c>
      <c r="D150">
        <v>10.36221504211426</v>
      </c>
      <c r="E150">
        <v>1</v>
      </c>
      <c r="F150">
        <v>1</v>
      </c>
      <c r="G150">
        <v>1</v>
      </c>
      <c r="H150">
        <v>1</v>
      </c>
      <c r="I150">
        <v>1</v>
      </c>
      <c r="J150">
        <v>1</v>
      </c>
      <c r="K150">
        <v>1</v>
      </c>
      <c r="L150">
        <v>1</v>
      </c>
      <c r="M150">
        <v>1</v>
      </c>
      <c r="N150">
        <v>1</v>
      </c>
      <c r="O150">
        <v>1</v>
      </c>
    </row>
    <row r="151" spans="1:16" x14ac:dyDescent="0.25">
      <c r="A151" t="s">
        <v>140</v>
      </c>
      <c r="B151" t="s">
        <v>70</v>
      </c>
      <c r="C151">
        <v>0</v>
      </c>
      <c r="D151">
        <v>11.317633390426639</v>
      </c>
      <c r="E151">
        <v>1</v>
      </c>
      <c r="F151">
        <v>1</v>
      </c>
      <c r="G151">
        <v>1</v>
      </c>
      <c r="H151">
        <v>1</v>
      </c>
      <c r="I151">
        <v>1</v>
      </c>
      <c r="J151">
        <v>1</v>
      </c>
      <c r="K151">
        <v>1</v>
      </c>
      <c r="L151">
        <v>1</v>
      </c>
      <c r="M151">
        <v>1</v>
      </c>
      <c r="N151">
        <v>1</v>
      </c>
      <c r="O151">
        <v>1</v>
      </c>
    </row>
    <row r="152" spans="1:16" x14ac:dyDescent="0.25">
      <c r="A152" t="s">
        <v>140</v>
      </c>
      <c r="B152" t="s">
        <v>71</v>
      </c>
      <c r="C152">
        <v>0</v>
      </c>
      <c r="D152">
        <v>10.38564348220825</v>
      </c>
      <c r="E152">
        <v>1</v>
      </c>
      <c r="F152">
        <v>1</v>
      </c>
      <c r="G152">
        <v>1</v>
      </c>
      <c r="H152">
        <v>1</v>
      </c>
      <c r="I152">
        <v>1</v>
      </c>
      <c r="J152">
        <v>1</v>
      </c>
      <c r="K152">
        <v>1</v>
      </c>
      <c r="L152">
        <v>1</v>
      </c>
      <c r="M152">
        <v>1</v>
      </c>
      <c r="N152">
        <v>1</v>
      </c>
      <c r="O152">
        <v>1</v>
      </c>
    </row>
    <row r="153" spans="1:16" x14ac:dyDescent="0.25">
      <c r="A153" t="s">
        <v>140</v>
      </c>
      <c r="B153" t="s">
        <v>73</v>
      </c>
      <c r="C153">
        <v>0</v>
      </c>
      <c r="D153">
        <v>10.07784843444824</v>
      </c>
      <c r="E153">
        <v>1</v>
      </c>
      <c r="F153">
        <v>1</v>
      </c>
      <c r="G153">
        <v>1</v>
      </c>
      <c r="H153">
        <v>1</v>
      </c>
      <c r="I153">
        <v>1</v>
      </c>
      <c r="J153">
        <v>1</v>
      </c>
      <c r="K153">
        <v>1</v>
      </c>
      <c r="L153">
        <v>1</v>
      </c>
      <c r="M153">
        <v>1</v>
      </c>
      <c r="N153">
        <v>1</v>
      </c>
      <c r="O153">
        <v>1</v>
      </c>
    </row>
    <row r="154" spans="1:16" x14ac:dyDescent="0.25">
      <c r="A154" t="s">
        <v>140</v>
      </c>
      <c r="B154" t="s">
        <v>75</v>
      </c>
      <c r="C154">
        <v>0</v>
      </c>
      <c r="D154">
        <v>2.9456603527069092</v>
      </c>
      <c r="E154">
        <v>1</v>
      </c>
      <c r="F154">
        <v>1</v>
      </c>
      <c r="G154">
        <v>1</v>
      </c>
      <c r="H154">
        <v>1</v>
      </c>
      <c r="I154">
        <v>1</v>
      </c>
      <c r="J154">
        <v>1</v>
      </c>
      <c r="K154">
        <v>1</v>
      </c>
      <c r="L154">
        <v>1</v>
      </c>
      <c r="M154">
        <v>1</v>
      </c>
      <c r="N154">
        <v>1</v>
      </c>
      <c r="O154">
        <v>1</v>
      </c>
    </row>
    <row r="155" spans="1:16" x14ac:dyDescent="0.25">
      <c r="A155" t="s">
        <v>140</v>
      </c>
      <c r="B155" t="s">
        <v>77</v>
      </c>
      <c r="C155">
        <v>0</v>
      </c>
      <c r="D155">
        <v>10.228541851043699</v>
      </c>
      <c r="E155">
        <v>1</v>
      </c>
      <c r="F155">
        <v>1</v>
      </c>
      <c r="G155">
        <v>1</v>
      </c>
      <c r="H155">
        <v>1</v>
      </c>
      <c r="I155">
        <v>1</v>
      </c>
      <c r="J155">
        <v>1</v>
      </c>
      <c r="K155">
        <v>1</v>
      </c>
      <c r="L155">
        <v>1</v>
      </c>
      <c r="M155">
        <v>1</v>
      </c>
      <c r="N155">
        <v>1</v>
      </c>
      <c r="O155">
        <v>1</v>
      </c>
    </row>
    <row r="156" spans="1:16" x14ac:dyDescent="0.25">
      <c r="A156" t="s">
        <v>140</v>
      </c>
      <c r="B156" t="s">
        <v>79</v>
      </c>
      <c r="C156">
        <v>0</v>
      </c>
      <c r="D156">
        <v>11.648469209671021</v>
      </c>
      <c r="E156">
        <v>0</v>
      </c>
      <c r="F156" t="s">
        <v>22</v>
      </c>
      <c r="G156" t="s">
        <v>22</v>
      </c>
      <c r="H156" t="s">
        <v>22</v>
      </c>
      <c r="I156" t="s">
        <v>22</v>
      </c>
      <c r="J156" t="s">
        <v>22</v>
      </c>
      <c r="K156" t="s">
        <v>22</v>
      </c>
      <c r="L156" t="s">
        <v>22</v>
      </c>
      <c r="M156" t="s">
        <v>22</v>
      </c>
      <c r="N156" t="s">
        <v>22</v>
      </c>
      <c r="O156" t="s">
        <v>22</v>
      </c>
      <c r="P156" t="s">
        <v>154</v>
      </c>
    </row>
    <row r="157" spans="1:16" x14ac:dyDescent="0.25">
      <c r="A157" t="s">
        <v>140</v>
      </c>
      <c r="B157" t="s">
        <v>81</v>
      </c>
      <c r="C157">
        <v>0</v>
      </c>
      <c r="D157">
        <v>4.4721095561981201</v>
      </c>
      <c r="E157">
        <v>1</v>
      </c>
      <c r="F157">
        <v>1</v>
      </c>
      <c r="G157">
        <v>1</v>
      </c>
      <c r="H157">
        <v>1</v>
      </c>
      <c r="I157">
        <v>1</v>
      </c>
      <c r="J157">
        <v>0</v>
      </c>
      <c r="K157">
        <v>1</v>
      </c>
      <c r="L157">
        <v>1</v>
      </c>
      <c r="M157">
        <v>1</v>
      </c>
      <c r="N157">
        <v>1</v>
      </c>
      <c r="O157">
        <v>1</v>
      </c>
      <c r="P157" t="s">
        <v>155</v>
      </c>
    </row>
    <row r="158" spans="1:16" x14ac:dyDescent="0.25">
      <c r="A158" t="s">
        <v>140</v>
      </c>
      <c r="B158" t="s">
        <v>83</v>
      </c>
      <c r="C158">
        <v>0</v>
      </c>
      <c r="D158">
        <v>7.6278047561645508</v>
      </c>
      <c r="E158">
        <v>1</v>
      </c>
      <c r="F158">
        <v>1</v>
      </c>
      <c r="G158">
        <v>1</v>
      </c>
      <c r="H158">
        <v>1</v>
      </c>
      <c r="I158">
        <v>1</v>
      </c>
      <c r="J158">
        <v>0</v>
      </c>
      <c r="K158">
        <v>1</v>
      </c>
      <c r="L158">
        <v>1</v>
      </c>
      <c r="M158">
        <v>1</v>
      </c>
      <c r="N158">
        <v>1</v>
      </c>
      <c r="O158">
        <v>1</v>
      </c>
      <c r="P158" t="s">
        <v>156</v>
      </c>
    </row>
    <row r="159" spans="1:16" x14ac:dyDescent="0.25">
      <c r="A159" t="s">
        <v>140</v>
      </c>
      <c r="B159" t="s">
        <v>85</v>
      </c>
      <c r="C159">
        <v>0</v>
      </c>
      <c r="D159">
        <v>13.770968914031981</v>
      </c>
      <c r="E159">
        <v>1</v>
      </c>
      <c r="F159">
        <v>0</v>
      </c>
      <c r="G159">
        <v>1</v>
      </c>
      <c r="H159" t="s">
        <v>22</v>
      </c>
      <c r="I159">
        <v>1</v>
      </c>
      <c r="J159" t="s">
        <v>22</v>
      </c>
      <c r="K159">
        <v>1</v>
      </c>
      <c r="L159">
        <v>1</v>
      </c>
      <c r="M159">
        <v>1</v>
      </c>
      <c r="N159">
        <v>1</v>
      </c>
      <c r="O159">
        <v>1</v>
      </c>
      <c r="P159" t="s">
        <v>157</v>
      </c>
    </row>
    <row r="160" spans="1:16" x14ac:dyDescent="0.25">
      <c r="A160" t="s">
        <v>140</v>
      </c>
      <c r="B160" t="s">
        <v>87</v>
      </c>
      <c r="C160">
        <v>0</v>
      </c>
      <c r="D160">
        <v>4.9955184459686279</v>
      </c>
      <c r="E160">
        <v>0</v>
      </c>
      <c r="F160" t="s">
        <v>22</v>
      </c>
      <c r="G160" t="s">
        <v>22</v>
      </c>
      <c r="H160" t="s">
        <v>22</v>
      </c>
      <c r="I160" t="s">
        <v>22</v>
      </c>
      <c r="J160" t="s">
        <v>22</v>
      </c>
      <c r="K160" t="s">
        <v>22</v>
      </c>
      <c r="L160" t="s">
        <v>22</v>
      </c>
      <c r="M160" t="s">
        <v>22</v>
      </c>
      <c r="N160" t="s">
        <v>22</v>
      </c>
      <c r="O160" t="s">
        <v>22</v>
      </c>
      <c r="P160" t="s">
        <v>158</v>
      </c>
    </row>
    <row r="161" spans="1:16" x14ac:dyDescent="0.25">
      <c r="A161" t="s">
        <v>140</v>
      </c>
      <c r="B161" t="s">
        <v>89</v>
      </c>
      <c r="C161">
        <v>0</v>
      </c>
      <c r="D161">
        <v>5.3680667877197266</v>
      </c>
      <c r="E161">
        <v>1</v>
      </c>
      <c r="F161">
        <v>1</v>
      </c>
      <c r="G161">
        <v>1</v>
      </c>
      <c r="H161">
        <v>1</v>
      </c>
      <c r="I161">
        <v>1</v>
      </c>
      <c r="J161">
        <v>0</v>
      </c>
      <c r="K161">
        <v>1</v>
      </c>
      <c r="L161">
        <v>1</v>
      </c>
      <c r="M161">
        <v>1</v>
      </c>
      <c r="N161">
        <v>1</v>
      </c>
      <c r="O161">
        <v>1</v>
      </c>
      <c r="P161" t="s">
        <v>159</v>
      </c>
    </row>
    <row r="162" spans="1:16" x14ac:dyDescent="0.25">
      <c r="A162" t="s">
        <v>140</v>
      </c>
      <c r="B162" t="s">
        <v>90</v>
      </c>
      <c r="C162">
        <v>0</v>
      </c>
      <c r="D162">
        <v>11.699570894241329</v>
      </c>
      <c r="E162">
        <v>1</v>
      </c>
      <c r="F162">
        <v>1</v>
      </c>
      <c r="G162">
        <v>1</v>
      </c>
      <c r="H162">
        <v>1</v>
      </c>
      <c r="I162">
        <v>1</v>
      </c>
      <c r="J162">
        <v>0</v>
      </c>
      <c r="K162">
        <v>1</v>
      </c>
      <c r="L162">
        <v>1</v>
      </c>
      <c r="M162">
        <v>1</v>
      </c>
      <c r="N162">
        <v>1</v>
      </c>
      <c r="O162">
        <v>1</v>
      </c>
      <c r="P162" t="s">
        <v>160</v>
      </c>
    </row>
    <row r="163" spans="1:16" x14ac:dyDescent="0.25">
      <c r="A163" t="s">
        <v>140</v>
      </c>
      <c r="B163" t="s">
        <v>115</v>
      </c>
      <c r="C163">
        <v>0</v>
      </c>
      <c r="D163">
        <v>12.613088607788089</v>
      </c>
      <c r="E163">
        <v>1</v>
      </c>
      <c r="F163">
        <v>1</v>
      </c>
      <c r="G163">
        <v>1</v>
      </c>
      <c r="H163">
        <v>1</v>
      </c>
      <c r="I163">
        <v>1</v>
      </c>
      <c r="J163">
        <v>0</v>
      </c>
      <c r="K163">
        <v>1</v>
      </c>
      <c r="L163">
        <v>1</v>
      </c>
      <c r="M163">
        <v>1</v>
      </c>
      <c r="N163">
        <v>1</v>
      </c>
      <c r="O163">
        <v>1</v>
      </c>
      <c r="P163" t="s">
        <v>161</v>
      </c>
    </row>
    <row r="164" spans="1:16" x14ac:dyDescent="0.25">
      <c r="A164" t="s">
        <v>140</v>
      </c>
      <c r="B164" t="s">
        <v>117</v>
      </c>
      <c r="C164">
        <v>0</v>
      </c>
      <c r="D164">
        <v>5.2794411182403556</v>
      </c>
      <c r="E164">
        <v>1</v>
      </c>
      <c r="F164">
        <v>1</v>
      </c>
      <c r="G164">
        <v>1</v>
      </c>
      <c r="H164">
        <v>1</v>
      </c>
      <c r="I164">
        <v>1</v>
      </c>
      <c r="J164">
        <v>0</v>
      </c>
      <c r="K164">
        <v>1</v>
      </c>
      <c r="L164">
        <v>1</v>
      </c>
      <c r="M164">
        <v>1</v>
      </c>
      <c r="N164">
        <v>1</v>
      </c>
      <c r="O164">
        <v>1</v>
      </c>
      <c r="P164" t="s">
        <v>162</v>
      </c>
    </row>
    <row r="165" spans="1:16" x14ac:dyDescent="0.25">
      <c r="A165" t="s">
        <v>140</v>
      </c>
      <c r="B165" t="s">
        <v>119</v>
      </c>
      <c r="C165">
        <v>0</v>
      </c>
      <c r="D165">
        <v>12.60402512550354</v>
      </c>
      <c r="E165">
        <v>1</v>
      </c>
      <c r="F165">
        <v>1</v>
      </c>
      <c r="G165">
        <v>1</v>
      </c>
      <c r="H165">
        <v>1</v>
      </c>
      <c r="I165">
        <v>1</v>
      </c>
      <c r="J165">
        <v>0</v>
      </c>
      <c r="K165">
        <v>1</v>
      </c>
      <c r="L165">
        <v>1</v>
      </c>
      <c r="M165">
        <v>1</v>
      </c>
      <c r="N165">
        <v>1</v>
      </c>
      <c r="O165">
        <v>1</v>
      </c>
      <c r="P165" t="s">
        <v>163</v>
      </c>
    </row>
    <row r="166" spans="1:16" x14ac:dyDescent="0.25">
      <c r="A166" t="s">
        <v>140</v>
      </c>
      <c r="B166" t="s">
        <v>121</v>
      </c>
      <c r="C166">
        <v>0</v>
      </c>
      <c r="D166">
        <v>5.2450816631317139</v>
      </c>
      <c r="E166">
        <v>1</v>
      </c>
      <c r="F166">
        <v>1</v>
      </c>
      <c r="G166">
        <v>1</v>
      </c>
      <c r="H166">
        <v>1</v>
      </c>
      <c r="I166">
        <v>1</v>
      </c>
      <c r="J166">
        <v>0</v>
      </c>
      <c r="K166">
        <v>1</v>
      </c>
      <c r="L166">
        <v>1</v>
      </c>
      <c r="M166">
        <v>1</v>
      </c>
      <c r="N166">
        <v>1</v>
      </c>
      <c r="O166">
        <v>1</v>
      </c>
      <c r="P166" t="s">
        <v>164</v>
      </c>
    </row>
    <row r="167" spans="1:16" x14ac:dyDescent="0.25">
      <c r="A167" t="s">
        <v>140</v>
      </c>
      <c r="B167" t="s">
        <v>122</v>
      </c>
      <c r="C167">
        <v>0</v>
      </c>
      <c r="D167">
        <v>5.0130205154418954</v>
      </c>
      <c r="E167">
        <v>1</v>
      </c>
      <c r="F167">
        <v>1</v>
      </c>
      <c r="G167">
        <v>1</v>
      </c>
      <c r="H167">
        <v>1</v>
      </c>
      <c r="I167">
        <v>1</v>
      </c>
      <c r="J167">
        <v>0</v>
      </c>
      <c r="K167">
        <v>1</v>
      </c>
      <c r="L167">
        <v>1</v>
      </c>
      <c r="M167">
        <v>1</v>
      </c>
      <c r="N167">
        <v>1</v>
      </c>
      <c r="O167">
        <v>1</v>
      </c>
      <c r="P167" t="s">
        <v>165</v>
      </c>
    </row>
    <row r="168" spans="1:16" x14ac:dyDescent="0.25">
      <c r="A168" t="s">
        <v>140</v>
      </c>
      <c r="B168" t="s">
        <v>124</v>
      </c>
      <c r="C168">
        <v>0</v>
      </c>
      <c r="D168">
        <v>4.8520863056182861</v>
      </c>
      <c r="E168">
        <v>1</v>
      </c>
      <c r="F168">
        <v>1</v>
      </c>
      <c r="G168">
        <v>1</v>
      </c>
      <c r="H168">
        <v>1</v>
      </c>
      <c r="I168">
        <v>1</v>
      </c>
      <c r="J168">
        <v>0</v>
      </c>
      <c r="K168">
        <v>1</v>
      </c>
      <c r="L168">
        <v>1</v>
      </c>
      <c r="M168">
        <v>1</v>
      </c>
      <c r="N168">
        <v>1</v>
      </c>
      <c r="O168">
        <v>1</v>
      </c>
      <c r="P168" t="s">
        <v>166</v>
      </c>
    </row>
    <row r="169" spans="1:16" x14ac:dyDescent="0.25">
      <c r="A169" t="s">
        <v>140</v>
      </c>
      <c r="B169" t="s">
        <v>126</v>
      </c>
      <c r="C169">
        <v>0</v>
      </c>
      <c r="D169">
        <v>12.62630391120911</v>
      </c>
      <c r="E169">
        <v>1</v>
      </c>
      <c r="F169">
        <v>1</v>
      </c>
      <c r="G169">
        <v>1</v>
      </c>
      <c r="H169">
        <v>0</v>
      </c>
      <c r="I169">
        <v>1</v>
      </c>
      <c r="J169">
        <v>0</v>
      </c>
      <c r="K169">
        <v>1</v>
      </c>
      <c r="L169">
        <v>1</v>
      </c>
      <c r="M169">
        <v>1</v>
      </c>
      <c r="N169">
        <v>1</v>
      </c>
      <c r="O169">
        <v>1</v>
      </c>
      <c r="P169" t="s">
        <v>167</v>
      </c>
    </row>
    <row r="170" spans="1:16" x14ac:dyDescent="0.25">
      <c r="A170" t="s">
        <v>140</v>
      </c>
      <c r="B170" t="s">
        <v>128</v>
      </c>
      <c r="C170">
        <v>0</v>
      </c>
      <c r="D170">
        <v>4.9214231967926034</v>
      </c>
      <c r="E170">
        <v>1</v>
      </c>
      <c r="F170">
        <v>1</v>
      </c>
      <c r="G170">
        <v>1</v>
      </c>
      <c r="H170">
        <v>1</v>
      </c>
      <c r="I170">
        <v>1</v>
      </c>
      <c r="J170">
        <v>0</v>
      </c>
      <c r="K170">
        <v>1</v>
      </c>
      <c r="L170">
        <v>1</v>
      </c>
      <c r="M170">
        <v>1</v>
      </c>
      <c r="N170">
        <v>1</v>
      </c>
      <c r="O170">
        <v>1</v>
      </c>
      <c r="P170" t="s">
        <v>168</v>
      </c>
    </row>
    <row r="171" spans="1:16" x14ac:dyDescent="0.25">
      <c r="A171" t="s">
        <v>140</v>
      </c>
      <c r="B171" t="s">
        <v>130</v>
      </c>
      <c r="C171">
        <v>0</v>
      </c>
      <c r="D171">
        <v>4.7412693500518799</v>
      </c>
      <c r="E171">
        <v>1</v>
      </c>
      <c r="F171">
        <v>1</v>
      </c>
      <c r="G171">
        <v>1</v>
      </c>
      <c r="H171">
        <v>1</v>
      </c>
      <c r="I171">
        <v>1</v>
      </c>
      <c r="J171">
        <v>0</v>
      </c>
      <c r="K171">
        <v>1</v>
      </c>
      <c r="L171">
        <v>1</v>
      </c>
      <c r="M171">
        <v>1</v>
      </c>
      <c r="N171">
        <v>1</v>
      </c>
      <c r="O171">
        <v>1</v>
      </c>
      <c r="P171" t="s">
        <v>169</v>
      </c>
    </row>
    <row r="172" spans="1:16" x14ac:dyDescent="0.25">
      <c r="A172" t="s">
        <v>140</v>
      </c>
      <c r="B172" t="s">
        <v>131</v>
      </c>
      <c r="C172">
        <v>0</v>
      </c>
      <c r="D172">
        <v>12.513237476348881</v>
      </c>
      <c r="E172">
        <v>1</v>
      </c>
      <c r="F172">
        <v>1</v>
      </c>
      <c r="G172">
        <v>1</v>
      </c>
      <c r="H172">
        <v>1</v>
      </c>
      <c r="I172">
        <v>1</v>
      </c>
      <c r="J172">
        <v>0</v>
      </c>
      <c r="K172">
        <v>1</v>
      </c>
      <c r="L172">
        <v>1</v>
      </c>
      <c r="M172">
        <v>1</v>
      </c>
      <c r="N172">
        <v>1</v>
      </c>
      <c r="O172">
        <v>1</v>
      </c>
      <c r="P172" t="s">
        <v>170</v>
      </c>
    </row>
    <row r="173" spans="1:16" x14ac:dyDescent="0.25">
      <c r="A173" t="s">
        <v>140</v>
      </c>
      <c r="B173" t="s">
        <v>133</v>
      </c>
      <c r="C173">
        <v>0</v>
      </c>
      <c r="D173">
        <v>5.5032174587249756</v>
      </c>
      <c r="E173">
        <v>0</v>
      </c>
      <c r="F173" t="s">
        <v>22</v>
      </c>
      <c r="G173" t="s">
        <v>22</v>
      </c>
      <c r="H173" t="s">
        <v>22</v>
      </c>
      <c r="I173" t="s">
        <v>22</v>
      </c>
      <c r="J173" t="s">
        <v>22</v>
      </c>
      <c r="K173" t="s">
        <v>22</v>
      </c>
      <c r="L173" t="s">
        <v>22</v>
      </c>
      <c r="M173" t="s">
        <v>22</v>
      </c>
      <c r="N173" t="s">
        <v>22</v>
      </c>
      <c r="O173" t="s">
        <v>22</v>
      </c>
      <c r="P173" t="s">
        <v>171</v>
      </c>
    </row>
    <row r="174" spans="1:16" x14ac:dyDescent="0.25">
      <c r="A174" t="s">
        <v>140</v>
      </c>
      <c r="B174" t="s">
        <v>135</v>
      </c>
      <c r="C174">
        <v>0</v>
      </c>
      <c r="D174">
        <v>14.414822578430179</v>
      </c>
      <c r="E174">
        <v>1</v>
      </c>
      <c r="F174">
        <v>1</v>
      </c>
      <c r="G174">
        <v>1</v>
      </c>
      <c r="H174">
        <v>1</v>
      </c>
      <c r="I174">
        <v>1</v>
      </c>
      <c r="J174">
        <v>0</v>
      </c>
      <c r="K174">
        <v>1</v>
      </c>
      <c r="L174">
        <v>1</v>
      </c>
      <c r="M174">
        <v>1</v>
      </c>
      <c r="N174">
        <v>1</v>
      </c>
      <c r="O174">
        <v>1</v>
      </c>
      <c r="P174" t="s">
        <v>172</v>
      </c>
    </row>
    <row r="175" spans="1:16" x14ac:dyDescent="0.25">
      <c r="A175" t="s">
        <v>140</v>
      </c>
      <c r="B175" t="s">
        <v>137</v>
      </c>
      <c r="C175">
        <v>0</v>
      </c>
      <c r="D175">
        <v>5.3845329284667969</v>
      </c>
      <c r="E175">
        <v>1</v>
      </c>
      <c r="F175">
        <v>1</v>
      </c>
      <c r="G175">
        <v>1</v>
      </c>
      <c r="H175">
        <v>1</v>
      </c>
      <c r="I175">
        <v>1</v>
      </c>
      <c r="J175">
        <v>0</v>
      </c>
      <c r="K175">
        <v>1</v>
      </c>
      <c r="L175">
        <v>1</v>
      </c>
      <c r="M175">
        <v>1</v>
      </c>
      <c r="N175">
        <v>1</v>
      </c>
      <c r="O175">
        <v>1</v>
      </c>
      <c r="P175" t="s">
        <v>173</v>
      </c>
    </row>
    <row r="176" spans="1:16" x14ac:dyDescent="0.25">
      <c r="A176" t="s">
        <v>140</v>
      </c>
      <c r="B176" t="s">
        <v>138</v>
      </c>
      <c r="C176">
        <v>0</v>
      </c>
      <c r="D176">
        <v>10.771153450012211</v>
      </c>
      <c r="E176">
        <v>1</v>
      </c>
      <c r="F176">
        <v>1</v>
      </c>
      <c r="G176">
        <v>1</v>
      </c>
      <c r="H176">
        <v>1</v>
      </c>
      <c r="I176">
        <v>1</v>
      </c>
      <c r="J176">
        <v>1</v>
      </c>
      <c r="K176">
        <v>1</v>
      </c>
      <c r="L176">
        <v>1</v>
      </c>
      <c r="M176">
        <v>1</v>
      </c>
      <c r="N176">
        <v>1</v>
      </c>
      <c r="O176">
        <v>1</v>
      </c>
    </row>
    <row r="177" spans="1:15" x14ac:dyDescent="0.25">
      <c r="A177" t="s">
        <v>140</v>
      </c>
      <c r="B177" t="s">
        <v>174</v>
      </c>
      <c r="C177">
        <v>0</v>
      </c>
      <c r="D177">
        <v>9.8554384708404541</v>
      </c>
      <c r="E177">
        <v>1</v>
      </c>
      <c r="F177">
        <v>1</v>
      </c>
      <c r="G177">
        <v>1</v>
      </c>
      <c r="H177">
        <v>1</v>
      </c>
      <c r="I177">
        <v>1</v>
      </c>
      <c r="J177">
        <v>1</v>
      </c>
      <c r="K177">
        <v>1</v>
      </c>
      <c r="L177">
        <v>1</v>
      </c>
      <c r="M177">
        <v>1</v>
      </c>
      <c r="N177">
        <v>1</v>
      </c>
      <c r="O177">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77"/>
  <sheetViews>
    <sheetView workbookViewId="0"/>
  </sheetViews>
  <sheetFormatPr defaultRowHeight="13.8" x14ac:dyDescent="0.25"/>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t="s">
        <v>16</v>
      </c>
      <c r="B2" t="s">
        <v>17</v>
      </c>
      <c r="C2">
        <v>0</v>
      </c>
      <c r="D2">
        <v>4.6345648765563956</v>
      </c>
      <c r="E2">
        <v>1</v>
      </c>
      <c r="F2">
        <v>1</v>
      </c>
      <c r="G2">
        <v>1</v>
      </c>
      <c r="H2">
        <v>1</v>
      </c>
      <c r="I2">
        <v>1</v>
      </c>
      <c r="J2">
        <v>0</v>
      </c>
      <c r="K2">
        <v>1</v>
      </c>
      <c r="L2">
        <v>1</v>
      </c>
      <c r="M2">
        <v>1</v>
      </c>
      <c r="N2">
        <v>1</v>
      </c>
      <c r="O2">
        <v>1</v>
      </c>
      <c r="P2" t="s">
        <v>175</v>
      </c>
    </row>
    <row r="3" spans="1:16" x14ac:dyDescent="0.25">
      <c r="A3" t="s">
        <v>16</v>
      </c>
      <c r="B3" t="s">
        <v>19</v>
      </c>
      <c r="C3">
        <v>0</v>
      </c>
      <c r="D3">
        <v>9.7286407947540283</v>
      </c>
      <c r="E3">
        <v>1</v>
      </c>
      <c r="F3">
        <v>1</v>
      </c>
      <c r="G3">
        <v>1</v>
      </c>
      <c r="H3">
        <v>1</v>
      </c>
      <c r="I3">
        <v>1</v>
      </c>
      <c r="J3">
        <v>1</v>
      </c>
      <c r="K3">
        <v>1</v>
      </c>
      <c r="L3">
        <v>1</v>
      </c>
      <c r="M3">
        <v>1</v>
      </c>
      <c r="N3">
        <v>1</v>
      </c>
      <c r="O3">
        <v>1</v>
      </c>
    </row>
    <row r="4" spans="1:16" x14ac:dyDescent="0.25">
      <c r="A4" t="s">
        <v>16</v>
      </c>
      <c r="B4" t="s">
        <v>20</v>
      </c>
      <c r="C4">
        <v>0</v>
      </c>
      <c r="D4">
        <v>10.64220356941223</v>
      </c>
      <c r="E4">
        <v>1</v>
      </c>
      <c r="F4">
        <v>1</v>
      </c>
      <c r="G4">
        <v>1</v>
      </c>
      <c r="H4">
        <v>1</v>
      </c>
      <c r="I4">
        <v>1</v>
      </c>
      <c r="J4">
        <v>1</v>
      </c>
      <c r="K4">
        <v>1</v>
      </c>
      <c r="L4">
        <v>1</v>
      </c>
      <c r="M4">
        <v>1</v>
      </c>
      <c r="N4">
        <v>1</v>
      </c>
      <c r="O4">
        <v>1</v>
      </c>
    </row>
    <row r="5" spans="1:16" x14ac:dyDescent="0.25">
      <c r="A5" t="s">
        <v>16</v>
      </c>
      <c r="B5" t="s">
        <v>21</v>
      </c>
      <c r="C5">
        <v>0</v>
      </c>
      <c r="D5">
        <v>5.6356914043426514</v>
      </c>
      <c r="E5">
        <v>1</v>
      </c>
      <c r="F5">
        <v>0</v>
      </c>
      <c r="G5">
        <v>1</v>
      </c>
      <c r="H5" t="s">
        <v>22</v>
      </c>
      <c r="I5">
        <v>1</v>
      </c>
      <c r="J5" t="s">
        <v>22</v>
      </c>
      <c r="K5">
        <v>1</v>
      </c>
      <c r="L5">
        <v>1</v>
      </c>
      <c r="M5">
        <v>1</v>
      </c>
      <c r="N5">
        <v>1</v>
      </c>
      <c r="O5">
        <v>1</v>
      </c>
      <c r="P5" t="s">
        <v>176</v>
      </c>
    </row>
    <row r="6" spans="1:16" x14ac:dyDescent="0.25">
      <c r="A6" t="s">
        <v>16</v>
      </c>
      <c r="B6" t="s">
        <v>24</v>
      </c>
      <c r="C6">
        <v>0</v>
      </c>
      <c r="D6">
        <v>2.962333202362061</v>
      </c>
      <c r="E6">
        <v>1</v>
      </c>
      <c r="F6">
        <v>1</v>
      </c>
      <c r="G6">
        <v>1</v>
      </c>
      <c r="H6">
        <v>1</v>
      </c>
      <c r="I6">
        <v>1</v>
      </c>
      <c r="J6">
        <v>1</v>
      </c>
      <c r="K6">
        <v>1</v>
      </c>
      <c r="L6">
        <v>1</v>
      </c>
      <c r="M6">
        <v>1</v>
      </c>
      <c r="N6">
        <v>1</v>
      </c>
      <c r="O6">
        <v>1</v>
      </c>
    </row>
    <row r="7" spans="1:16" x14ac:dyDescent="0.25">
      <c r="A7" t="s">
        <v>16</v>
      </c>
      <c r="B7" t="s">
        <v>25</v>
      </c>
      <c r="C7">
        <v>0</v>
      </c>
      <c r="D7">
        <v>3.0652823448181148</v>
      </c>
      <c r="E7">
        <v>1</v>
      </c>
      <c r="F7">
        <v>1</v>
      </c>
      <c r="G7">
        <v>1</v>
      </c>
      <c r="H7">
        <v>1</v>
      </c>
      <c r="I7">
        <v>1</v>
      </c>
      <c r="J7">
        <v>1</v>
      </c>
      <c r="K7">
        <v>1</v>
      </c>
      <c r="L7">
        <v>1</v>
      </c>
      <c r="M7">
        <v>1</v>
      </c>
      <c r="N7">
        <v>1</v>
      </c>
      <c r="O7">
        <v>1</v>
      </c>
    </row>
    <row r="8" spans="1:16" x14ac:dyDescent="0.25">
      <c r="A8" t="s">
        <v>16</v>
      </c>
      <c r="B8" t="s">
        <v>26</v>
      </c>
      <c r="C8">
        <v>0</v>
      </c>
      <c r="D8">
        <v>11.27293157577515</v>
      </c>
      <c r="E8">
        <v>1</v>
      </c>
      <c r="F8">
        <v>1</v>
      </c>
      <c r="G8">
        <v>1</v>
      </c>
      <c r="H8">
        <v>1</v>
      </c>
      <c r="I8">
        <v>1</v>
      </c>
      <c r="J8">
        <v>1</v>
      </c>
      <c r="K8">
        <v>1</v>
      </c>
      <c r="L8">
        <v>1</v>
      </c>
      <c r="M8">
        <v>1</v>
      </c>
      <c r="N8">
        <v>1</v>
      </c>
      <c r="O8">
        <v>1</v>
      </c>
    </row>
    <row r="9" spans="1:16" x14ac:dyDescent="0.25">
      <c r="A9" t="s">
        <v>16</v>
      </c>
      <c r="B9" t="s">
        <v>27</v>
      </c>
      <c r="C9">
        <v>0</v>
      </c>
      <c r="D9">
        <v>8.3822762966156006</v>
      </c>
      <c r="E9">
        <v>1</v>
      </c>
      <c r="F9">
        <v>1</v>
      </c>
      <c r="G9">
        <v>1</v>
      </c>
      <c r="H9">
        <v>1</v>
      </c>
      <c r="I9">
        <v>1</v>
      </c>
      <c r="J9">
        <v>1</v>
      </c>
      <c r="K9">
        <v>1</v>
      </c>
      <c r="L9">
        <v>1</v>
      </c>
      <c r="M9">
        <v>1</v>
      </c>
      <c r="N9">
        <v>1</v>
      </c>
      <c r="O9">
        <v>1</v>
      </c>
    </row>
    <row r="10" spans="1:16" x14ac:dyDescent="0.25">
      <c r="A10" t="s">
        <v>16</v>
      </c>
      <c r="B10" t="s">
        <v>28</v>
      </c>
      <c r="C10">
        <v>0</v>
      </c>
      <c r="D10">
        <v>2.880332469940186</v>
      </c>
      <c r="E10">
        <v>1</v>
      </c>
      <c r="F10">
        <v>1</v>
      </c>
      <c r="G10">
        <v>1</v>
      </c>
      <c r="H10">
        <v>1</v>
      </c>
      <c r="I10">
        <v>1</v>
      </c>
      <c r="J10">
        <v>1</v>
      </c>
      <c r="K10">
        <v>1</v>
      </c>
      <c r="L10">
        <v>1</v>
      </c>
      <c r="M10">
        <v>1</v>
      </c>
      <c r="N10">
        <v>1</v>
      </c>
      <c r="O10">
        <v>1</v>
      </c>
    </row>
    <row r="11" spans="1:16" x14ac:dyDescent="0.25">
      <c r="A11" t="s">
        <v>16</v>
      </c>
      <c r="B11" t="s">
        <v>29</v>
      </c>
      <c r="C11">
        <v>0</v>
      </c>
      <c r="D11">
        <v>7.7712423801422119</v>
      </c>
      <c r="E11">
        <v>1</v>
      </c>
      <c r="F11">
        <v>1</v>
      </c>
      <c r="G11">
        <v>1</v>
      </c>
      <c r="H11">
        <v>1</v>
      </c>
      <c r="I11">
        <v>1</v>
      </c>
      <c r="J11">
        <v>1</v>
      </c>
      <c r="K11">
        <v>1</v>
      </c>
      <c r="L11">
        <v>0</v>
      </c>
      <c r="M11">
        <v>1</v>
      </c>
      <c r="N11">
        <v>1</v>
      </c>
      <c r="O11">
        <v>1</v>
      </c>
      <c r="P11" t="s">
        <v>177</v>
      </c>
    </row>
    <row r="12" spans="1:16" x14ac:dyDescent="0.25">
      <c r="A12" t="s">
        <v>16</v>
      </c>
      <c r="B12" t="s">
        <v>30</v>
      </c>
      <c r="C12">
        <v>0</v>
      </c>
      <c r="D12">
        <v>13.712001323699949</v>
      </c>
      <c r="E12">
        <v>0</v>
      </c>
      <c r="F12" t="s">
        <v>22</v>
      </c>
      <c r="G12" t="s">
        <v>22</v>
      </c>
      <c r="H12" t="s">
        <v>22</v>
      </c>
      <c r="I12" t="s">
        <v>22</v>
      </c>
      <c r="J12" t="s">
        <v>22</v>
      </c>
      <c r="K12" t="s">
        <v>22</v>
      </c>
      <c r="L12" t="s">
        <v>22</v>
      </c>
      <c r="M12" t="s">
        <v>22</v>
      </c>
      <c r="N12" t="s">
        <v>22</v>
      </c>
      <c r="O12" t="s">
        <v>22</v>
      </c>
      <c r="P12" t="s">
        <v>178</v>
      </c>
    </row>
    <row r="13" spans="1:16" x14ac:dyDescent="0.25">
      <c r="A13" t="s">
        <v>16</v>
      </c>
      <c r="B13" t="s">
        <v>32</v>
      </c>
      <c r="C13">
        <v>0</v>
      </c>
      <c r="D13">
        <v>2.9679827690124512</v>
      </c>
      <c r="E13">
        <v>1</v>
      </c>
      <c r="F13">
        <v>1</v>
      </c>
      <c r="G13">
        <v>1</v>
      </c>
      <c r="H13">
        <v>1</v>
      </c>
      <c r="I13">
        <v>1</v>
      </c>
      <c r="J13">
        <v>1</v>
      </c>
      <c r="K13">
        <v>1</v>
      </c>
      <c r="L13">
        <v>1</v>
      </c>
      <c r="M13">
        <v>1</v>
      </c>
      <c r="N13">
        <v>1</v>
      </c>
      <c r="O13">
        <v>1</v>
      </c>
    </row>
    <row r="14" spans="1:16" x14ac:dyDescent="0.25">
      <c r="A14" t="s">
        <v>16</v>
      </c>
      <c r="B14" t="s">
        <v>33</v>
      </c>
      <c r="C14">
        <v>0</v>
      </c>
      <c r="D14">
        <v>11.611817121505741</v>
      </c>
      <c r="E14">
        <v>1</v>
      </c>
      <c r="F14">
        <v>0</v>
      </c>
      <c r="G14">
        <v>1</v>
      </c>
      <c r="H14" t="s">
        <v>22</v>
      </c>
      <c r="I14">
        <v>1</v>
      </c>
      <c r="J14" t="s">
        <v>22</v>
      </c>
      <c r="K14">
        <v>1</v>
      </c>
      <c r="L14">
        <v>1</v>
      </c>
      <c r="M14">
        <v>1</v>
      </c>
      <c r="N14">
        <v>1</v>
      </c>
      <c r="O14">
        <v>1</v>
      </c>
      <c r="P14" t="s">
        <v>179</v>
      </c>
    </row>
    <row r="15" spans="1:16" x14ac:dyDescent="0.25">
      <c r="A15" t="s">
        <v>16</v>
      </c>
      <c r="B15" t="s">
        <v>35</v>
      </c>
      <c r="C15">
        <v>0</v>
      </c>
      <c r="D15">
        <v>10.92727255821228</v>
      </c>
      <c r="E15">
        <v>1</v>
      </c>
      <c r="F15">
        <v>0</v>
      </c>
      <c r="G15">
        <v>1</v>
      </c>
      <c r="H15" t="s">
        <v>22</v>
      </c>
      <c r="I15">
        <v>1</v>
      </c>
      <c r="J15" t="s">
        <v>22</v>
      </c>
      <c r="K15">
        <v>1</v>
      </c>
      <c r="L15">
        <v>1</v>
      </c>
      <c r="M15">
        <v>1</v>
      </c>
      <c r="N15">
        <v>1</v>
      </c>
      <c r="O15">
        <v>1</v>
      </c>
      <c r="P15" t="s">
        <v>180</v>
      </c>
    </row>
    <row r="16" spans="1:16" x14ac:dyDescent="0.25">
      <c r="A16" t="s">
        <v>16</v>
      </c>
      <c r="B16" t="s">
        <v>36</v>
      </c>
      <c r="C16">
        <v>0</v>
      </c>
      <c r="D16">
        <v>10.436213254928591</v>
      </c>
      <c r="E16">
        <v>1</v>
      </c>
      <c r="F16">
        <v>1</v>
      </c>
      <c r="G16">
        <v>1</v>
      </c>
      <c r="H16">
        <v>1</v>
      </c>
      <c r="I16">
        <v>1</v>
      </c>
      <c r="J16">
        <v>1</v>
      </c>
      <c r="K16">
        <v>1</v>
      </c>
      <c r="L16">
        <v>1</v>
      </c>
      <c r="M16">
        <v>1</v>
      </c>
      <c r="N16">
        <v>1</v>
      </c>
      <c r="O16">
        <v>1</v>
      </c>
    </row>
    <row r="17" spans="1:16" x14ac:dyDescent="0.25">
      <c r="A17" t="s">
        <v>16</v>
      </c>
      <c r="B17" t="s">
        <v>38</v>
      </c>
      <c r="C17">
        <v>0</v>
      </c>
      <c r="D17">
        <v>12.342287063598629</v>
      </c>
      <c r="E17">
        <v>1</v>
      </c>
      <c r="F17">
        <v>1</v>
      </c>
      <c r="G17">
        <v>1</v>
      </c>
      <c r="H17">
        <v>1</v>
      </c>
      <c r="I17">
        <v>1</v>
      </c>
      <c r="J17">
        <v>0</v>
      </c>
      <c r="K17">
        <v>1</v>
      </c>
      <c r="L17">
        <v>1</v>
      </c>
      <c r="M17">
        <v>1</v>
      </c>
      <c r="N17">
        <v>1</v>
      </c>
      <c r="O17">
        <v>1</v>
      </c>
      <c r="P17" t="s">
        <v>181</v>
      </c>
    </row>
    <row r="18" spans="1:16" x14ac:dyDescent="0.25">
      <c r="A18" t="s">
        <v>16</v>
      </c>
      <c r="B18" t="s">
        <v>39</v>
      </c>
      <c r="C18">
        <v>0</v>
      </c>
      <c r="D18">
        <v>3.0017623901367192</v>
      </c>
      <c r="E18">
        <v>1</v>
      </c>
      <c r="F18">
        <v>1</v>
      </c>
      <c r="G18">
        <v>1</v>
      </c>
      <c r="H18">
        <v>1</v>
      </c>
      <c r="I18">
        <v>1</v>
      </c>
      <c r="J18">
        <v>1</v>
      </c>
      <c r="K18">
        <v>1</v>
      </c>
      <c r="L18">
        <v>1</v>
      </c>
      <c r="M18">
        <v>1</v>
      </c>
      <c r="N18">
        <v>1</v>
      </c>
      <c r="O18">
        <v>1</v>
      </c>
    </row>
    <row r="19" spans="1:16" x14ac:dyDescent="0.25">
      <c r="A19" t="s">
        <v>16</v>
      </c>
      <c r="B19" t="s">
        <v>40</v>
      </c>
      <c r="C19">
        <v>0</v>
      </c>
      <c r="D19">
        <v>7.3627777099609384</v>
      </c>
      <c r="E19">
        <v>1</v>
      </c>
      <c r="F19">
        <v>1</v>
      </c>
      <c r="G19">
        <v>1</v>
      </c>
      <c r="H19">
        <v>1</v>
      </c>
      <c r="I19">
        <v>1</v>
      </c>
      <c r="J19">
        <v>1</v>
      </c>
      <c r="K19">
        <v>1</v>
      </c>
      <c r="L19">
        <v>1</v>
      </c>
      <c r="M19">
        <v>1</v>
      </c>
      <c r="N19">
        <v>1</v>
      </c>
      <c r="O19">
        <v>1</v>
      </c>
    </row>
    <row r="20" spans="1:16" x14ac:dyDescent="0.25">
      <c r="A20" t="s">
        <v>16</v>
      </c>
      <c r="B20" t="s">
        <v>41</v>
      </c>
      <c r="C20">
        <v>0</v>
      </c>
      <c r="D20">
        <v>11.3615620136261</v>
      </c>
      <c r="E20">
        <v>0</v>
      </c>
      <c r="F20" t="s">
        <v>22</v>
      </c>
      <c r="G20" t="s">
        <v>22</v>
      </c>
      <c r="H20" t="s">
        <v>22</v>
      </c>
      <c r="I20" t="s">
        <v>22</v>
      </c>
      <c r="J20" t="s">
        <v>22</v>
      </c>
      <c r="K20" t="s">
        <v>22</v>
      </c>
      <c r="L20" t="s">
        <v>22</v>
      </c>
      <c r="M20" t="s">
        <v>22</v>
      </c>
      <c r="N20" t="s">
        <v>22</v>
      </c>
      <c r="O20" t="s">
        <v>22</v>
      </c>
      <c r="P20" t="s">
        <v>182</v>
      </c>
    </row>
    <row r="21" spans="1:16" x14ac:dyDescent="0.25">
      <c r="A21" t="s">
        <v>16</v>
      </c>
      <c r="B21" t="s">
        <v>43</v>
      </c>
      <c r="C21">
        <v>0</v>
      </c>
      <c r="D21">
        <v>9.2243180274963379</v>
      </c>
      <c r="E21">
        <v>1</v>
      </c>
      <c r="F21">
        <v>1</v>
      </c>
      <c r="G21">
        <v>1</v>
      </c>
      <c r="H21">
        <v>1</v>
      </c>
      <c r="I21">
        <v>1</v>
      </c>
      <c r="J21">
        <v>1</v>
      </c>
      <c r="K21">
        <v>1</v>
      </c>
      <c r="L21">
        <v>1</v>
      </c>
      <c r="M21">
        <v>1</v>
      </c>
      <c r="N21">
        <v>1</v>
      </c>
      <c r="O21">
        <v>1</v>
      </c>
    </row>
    <row r="22" spans="1:16" x14ac:dyDescent="0.25">
      <c r="A22" t="s">
        <v>16</v>
      </c>
      <c r="B22" t="s">
        <v>44</v>
      </c>
      <c r="C22">
        <v>0</v>
      </c>
      <c r="D22">
        <v>10.1246657371521</v>
      </c>
      <c r="E22">
        <v>1</v>
      </c>
      <c r="F22">
        <v>1</v>
      </c>
      <c r="G22">
        <v>1</v>
      </c>
      <c r="H22">
        <v>1</v>
      </c>
      <c r="I22">
        <v>1</v>
      </c>
      <c r="J22">
        <v>1</v>
      </c>
      <c r="K22">
        <v>1</v>
      </c>
      <c r="L22">
        <v>1</v>
      </c>
      <c r="M22">
        <v>1</v>
      </c>
      <c r="N22">
        <v>1</v>
      </c>
      <c r="O22">
        <v>1</v>
      </c>
    </row>
    <row r="23" spans="1:16" x14ac:dyDescent="0.25">
      <c r="A23" t="s">
        <v>16</v>
      </c>
      <c r="B23" t="s">
        <v>45</v>
      </c>
      <c r="C23">
        <v>0</v>
      </c>
      <c r="D23">
        <v>10.53139066696167</v>
      </c>
      <c r="E23">
        <v>1</v>
      </c>
      <c r="F23">
        <v>1</v>
      </c>
      <c r="G23">
        <v>1</v>
      </c>
      <c r="H23">
        <v>1</v>
      </c>
      <c r="I23">
        <v>1</v>
      </c>
      <c r="J23">
        <v>1</v>
      </c>
      <c r="K23">
        <v>1</v>
      </c>
      <c r="L23">
        <v>1</v>
      </c>
      <c r="M23">
        <v>1</v>
      </c>
      <c r="N23">
        <v>1</v>
      </c>
      <c r="O23">
        <v>1</v>
      </c>
    </row>
    <row r="24" spans="1:16" x14ac:dyDescent="0.25">
      <c r="A24" t="s">
        <v>16</v>
      </c>
      <c r="B24" t="s">
        <v>46</v>
      </c>
      <c r="C24">
        <v>0</v>
      </c>
      <c r="D24">
        <v>9.2260921001434326</v>
      </c>
      <c r="E24">
        <v>1</v>
      </c>
      <c r="F24">
        <v>1</v>
      </c>
      <c r="G24">
        <v>1</v>
      </c>
      <c r="H24">
        <v>1</v>
      </c>
      <c r="I24">
        <v>1</v>
      </c>
      <c r="J24">
        <v>1</v>
      </c>
      <c r="K24">
        <v>1</v>
      </c>
      <c r="L24">
        <v>1</v>
      </c>
      <c r="M24">
        <v>1</v>
      </c>
      <c r="N24">
        <v>1</v>
      </c>
      <c r="O24">
        <v>1</v>
      </c>
    </row>
    <row r="25" spans="1:16" x14ac:dyDescent="0.25">
      <c r="A25" t="s">
        <v>16</v>
      </c>
      <c r="B25" t="s">
        <v>47</v>
      </c>
      <c r="C25">
        <v>0</v>
      </c>
      <c r="D25">
        <v>2.8937141895294189</v>
      </c>
      <c r="E25">
        <v>1</v>
      </c>
      <c r="F25">
        <v>1</v>
      </c>
      <c r="G25">
        <v>1</v>
      </c>
      <c r="H25">
        <v>1</v>
      </c>
      <c r="I25">
        <v>1</v>
      </c>
      <c r="J25">
        <v>1</v>
      </c>
      <c r="K25">
        <v>1</v>
      </c>
      <c r="L25">
        <v>1</v>
      </c>
      <c r="M25">
        <v>1</v>
      </c>
      <c r="N25">
        <v>1</v>
      </c>
      <c r="O25">
        <v>1</v>
      </c>
    </row>
    <row r="26" spans="1:16" x14ac:dyDescent="0.25">
      <c r="A26" t="s">
        <v>16</v>
      </c>
      <c r="B26" t="s">
        <v>48</v>
      </c>
      <c r="C26">
        <v>0</v>
      </c>
      <c r="D26">
        <v>10.699326276779169</v>
      </c>
      <c r="E26">
        <v>1</v>
      </c>
      <c r="F26">
        <v>1</v>
      </c>
      <c r="G26">
        <v>1</v>
      </c>
      <c r="H26">
        <v>1</v>
      </c>
      <c r="I26">
        <v>1</v>
      </c>
      <c r="J26">
        <v>1</v>
      </c>
      <c r="K26">
        <v>1</v>
      </c>
      <c r="L26">
        <v>1</v>
      </c>
      <c r="M26">
        <v>1</v>
      </c>
      <c r="N26">
        <v>1</v>
      </c>
      <c r="O26">
        <v>1</v>
      </c>
    </row>
    <row r="27" spans="1:16" x14ac:dyDescent="0.25">
      <c r="A27" t="s">
        <v>16</v>
      </c>
      <c r="B27" t="s">
        <v>49</v>
      </c>
      <c r="C27">
        <v>0</v>
      </c>
      <c r="D27">
        <v>5.4365289211273193</v>
      </c>
      <c r="E27">
        <v>1</v>
      </c>
      <c r="F27">
        <v>0</v>
      </c>
      <c r="G27">
        <v>1</v>
      </c>
      <c r="H27" t="s">
        <v>22</v>
      </c>
      <c r="I27">
        <v>1</v>
      </c>
      <c r="J27" t="s">
        <v>22</v>
      </c>
      <c r="K27">
        <v>1</v>
      </c>
      <c r="L27">
        <v>1</v>
      </c>
      <c r="M27">
        <v>1</v>
      </c>
      <c r="N27">
        <v>1</v>
      </c>
      <c r="O27">
        <v>1</v>
      </c>
      <c r="P27" t="s">
        <v>183</v>
      </c>
    </row>
    <row r="28" spans="1:16" x14ac:dyDescent="0.25">
      <c r="A28" t="s">
        <v>16</v>
      </c>
      <c r="B28" t="s">
        <v>51</v>
      </c>
      <c r="C28">
        <v>0</v>
      </c>
      <c r="D28">
        <v>14.998528003692631</v>
      </c>
      <c r="E28">
        <v>1</v>
      </c>
      <c r="F28">
        <v>0</v>
      </c>
      <c r="G28">
        <v>1</v>
      </c>
      <c r="H28" t="s">
        <v>22</v>
      </c>
      <c r="I28">
        <v>1</v>
      </c>
      <c r="J28" t="s">
        <v>22</v>
      </c>
      <c r="K28">
        <v>1</v>
      </c>
      <c r="L28">
        <v>1</v>
      </c>
      <c r="M28">
        <v>1</v>
      </c>
      <c r="N28">
        <v>1</v>
      </c>
      <c r="O28">
        <v>1</v>
      </c>
      <c r="P28" t="s">
        <v>184</v>
      </c>
    </row>
    <row r="29" spans="1:16" x14ac:dyDescent="0.25">
      <c r="A29" t="s">
        <v>16</v>
      </c>
      <c r="B29" t="s">
        <v>53</v>
      </c>
      <c r="C29">
        <v>0</v>
      </c>
      <c r="D29">
        <v>10.2227098941803</v>
      </c>
      <c r="E29">
        <v>1</v>
      </c>
      <c r="F29">
        <v>1</v>
      </c>
      <c r="G29">
        <v>1</v>
      </c>
      <c r="H29">
        <v>1</v>
      </c>
      <c r="I29">
        <v>1</v>
      </c>
      <c r="J29">
        <v>1</v>
      </c>
      <c r="K29">
        <v>1</v>
      </c>
      <c r="L29">
        <v>1</v>
      </c>
      <c r="M29">
        <v>1</v>
      </c>
      <c r="N29">
        <v>1</v>
      </c>
      <c r="O29">
        <v>1</v>
      </c>
    </row>
    <row r="30" spans="1:16" x14ac:dyDescent="0.25">
      <c r="A30" t="s">
        <v>16</v>
      </c>
      <c r="B30" t="s">
        <v>54</v>
      </c>
      <c r="C30">
        <v>0</v>
      </c>
      <c r="D30">
        <v>10.95126533508301</v>
      </c>
      <c r="E30">
        <v>1</v>
      </c>
      <c r="F30">
        <v>1</v>
      </c>
      <c r="G30">
        <v>0</v>
      </c>
      <c r="H30" t="s">
        <v>22</v>
      </c>
      <c r="I30">
        <v>1</v>
      </c>
      <c r="J30">
        <v>1</v>
      </c>
      <c r="K30">
        <v>1</v>
      </c>
      <c r="L30">
        <v>1</v>
      </c>
      <c r="M30">
        <v>1</v>
      </c>
      <c r="N30">
        <v>1</v>
      </c>
      <c r="O30">
        <v>1</v>
      </c>
      <c r="P30" t="s">
        <v>185</v>
      </c>
    </row>
    <row r="31" spans="1:16" x14ac:dyDescent="0.25">
      <c r="A31" t="s">
        <v>16</v>
      </c>
      <c r="B31" t="s">
        <v>56</v>
      </c>
      <c r="C31">
        <v>0</v>
      </c>
      <c r="D31">
        <v>6.4785010814666748</v>
      </c>
      <c r="E31">
        <v>1</v>
      </c>
      <c r="F31">
        <v>0</v>
      </c>
      <c r="G31">
        <v>1</v>
      </c>
      <c r="H31" t="s">
        <v>22</v>
      </c>
      <c r="I31">
        <v>1</v>
      </c>
      <c r="J31" t="s">
        <v>22</v>
      </c>
      <c r="K31">
        <v>1</v>
      </c>
      <c r="L31">
        <v>1</v>
      </c>
      <c r="M31">
        <v>1</v>
      </c>
      <c r="N31">
        <v>1</v>
      </c>
      <c r="O31">
        <v>1</v>
      </c>
      <c r="P31" t="s">
        <v>186</v>
      </c>
    </row>
    <row r="32" spans="1:16" x14ac:dyDescent="0.25">
      <c r="A32" t="s">
        <v>16</v>
      </c>
      <c r="B32" t="s">
        <v>58</v>
      </c>
      <c r="C32">
        <v>0</v>
      </c>
      <c r="D32">
        <v>6.3718318939208984</v>
      </c>
      <c r="E32">
        <v>1</v>
      </c>
      <c r="F32">
        <v>0</v>
      </c>
      <c r="G32">
        <v>1</v>
      </c>
      <c r="H32" t="s">
        <v>22</v>
      </c>
      <c r="I32">
        <v>1</v>
      </c>
      <c r="J32" t="s">
        <v>22</v>
      </c>
      <c r="K32">
        <v>1</v>
      </c>
      <c r="L32">
        <v>1</v>
      </c>
      <c r="M32">
        <v>1</v>
      </c>
      <c r="N32">
        <v>1</v>
      </c>
      <c r="O32">
        <v>1</v>
      </c>
      <c r="P32" t="s">
        <v>187</v>
      </c>
    </row>
    <row r="33" spans="1:16" x14ac:dyDescent="0.25">
      <c r="A33" t="s">
        <v>16</v>
      </c>
      <c r="B33" t="s">
        <v>60</v>
      </c>
      <c r="C33">
        <v>0</v>
      </c>
      <c r="D33">
        <v>9.3042268753051758</v>
      </c>
      <c r="E33">
        <v>1</v>
      </c>
      <c r="F33">
        <v>0</v>
      </c>
      <c r="G33">
        <v>1</v>
      </c>
      <c r="H33" t="s">
        <v>22</v>
      </c>
      <c r="I33">
        <v>1</v>
      </c>
      <c r="J33" t="s">
        <v>22</v>
      </c>
      <c r="K33">
        <v>1</v>
      </c>
      <c r="L33">
        <v>1</v>
      </c>
      <c r="M33">
        <v>1</v>
      </c>
      <c r="N33">
        <v>1</v>
      </c>
      <c r="O33">
        <v>1</v>
      </c>
      <c r="P33" t="s">
        <v>188</v>
      </c>
    </row>
    <row r="34" spans="1:16" x14ac:dyDescent="0.25">
      <c r="A34" t="s">
        <v>16</v>
      </c>
      <c r="B34" t="s">
        <v>62</v>
      </c>
      <c r="C34">
        <v>0</v>
      </c>
      <c r="D34">
        <v>11.83838152885437</v>
      </c>
      <c r="E34">
        <v>1</v>
      </c>
      <c r="F34">
        <v>1</v>
      </c>
      <c r="G34">
        <v>1</v>
      </c>
      <c r="H34">
        <v>1</v>
      </c>
      <c r="I34">
        <v>1</v>
      </c>
      <c r="J34">
        <v>1</v>
      </c>
      <c r="K34">
        <v>0</v>
      </c>
      <c r="L34">
        <v>1</v>
      </c>
      <c r="M34">
        <v>1</v>
      </c>
      <c r="N34">
        <v>1</v>
      </c>
      <c r="O34">
        <v>1</v>
      </c>
      <c r="P34" t="s">
        <v>189</v>
      </c>
    </row>
    <row r="35" spans="1:16" x14ac:dyDescent="0.25">
      <c r="A35" t="s">
        <v>16</v>
      </c>
      <c r="B35" t="s">
        <v>64</v>
      </c>
      <c r="C35">
        <v>0</v>
      </c>
      <c r="D35">
        <v>10.25970816612244</v>
      </c>
      <c r="E35">
        <v>1</v>
      </c>
      <c r="F35">
        <v>1</v>
      </c>
      <c r="G35">
        <v>1</v>
      </c>
      <c r="H35">
        <v>1</v>
      </c>
      <c r="I35">
        <v>1</v>
      </c>
      <c r="J35">
        <v>1</v>
      </c>
      <c r="K35">
        <v>1</v>
      </c>
      <c r="L35">
        <v>1</v>
      </c>
      <c r="M35">
        <v>1</v>
      </c>
      <c r="N35">
        <v>1</v>
      </c>
      <c r="O35">
        <v>1</v>
      </c>
    </row>
    <row r="36" spans="1:16" x14ac:dyDescent="0.25">
      <c r="A36" t="s">
        <v>16</v>
      </c>
      <c r="B36" t="s">
        <v>66</v>
      </c>
      <c r="C36">
        <v>0</v>
      </c>
      <c r="D36">
        <v>8.6072161197662354</v>
      </c>
      <c r="E36">
        <v>1</v>
      </c>
      <c r="F36">
        <v>1</v>
      </c>
      <c r="G36">
        <v>1</v>
      </c>
      <c r="H36">
        <v>1</v>
      </c>
      <c r="I36">
        <v>1</v>
      </c>
      <c r="J36">
        <v>1</v>
      </c>
      <c r="K36">
        <v>0</v>
      </c>
      <c r="L36">
        <v>1</v>
      </c>
      <c r="M36">
        <v>1</v>
      </c>
      <c r="N36">
        <v>1</v>
      </c>
      <c r="O36">
        <v>1</v>
      </c>
      <c r="P36" t="s">
        <v>190</v>
      </c>
    </row>
    <row r="37" spans="1:16" x14ac:dyDescent="0.25">
      <c r="A37" t="s">
        <v>16</v>
      </c>
      <c r="B37" t="s">
        <v>67</v>
      </c>
      <c r="C37">
        <v>0</v>
      </c>
      <c r="D37">
        <v>7.4785573482513428</v>
      </c>
      <c r="E37">
        <v>1</v>
      </c>
      <c r="F37">
        <v>1</v>
      </c>
      <c r="G37">
        <v>1</v>
      </c>
      <c r="H37">
        <v>1</v>
      </c>
      <c r="I37">
        <v>1</v>
      </c>
      <c r="J37">
        <v>1</v>
      </c>
      <c r="K37">
        <v>0</v>
      </c>
      <c r="L37">
        <v>1</v>
      </c>
      <c r="M37">
        <v>1</v>
      </c>
      <c r="N37">
        <v>1</v>
      </c>
      <c r="O37">
        <v>1</v>
      </c>
      <c r="P37" t="s">
        <v>191</v>
      </c>
    </row>
    <row r="38" spans="1:16" x14ac:dyDescent="0.25">
      <c r="A38" t="s">
        <v>16</v>
      </c>
      <c r="B38" t="s">
        <v>69</v>
      </c>
      <c r="C38">
        <v>0</v>
      </c>
      <c r="D38">
        <v>9.6309726238250732</v>
      </c>
      <c r="E38">
        <v>1</v>
      </c>
      <c r="F38">
        <v>1</v>
      </c>
      <c r="G38">
        <v>1</v>
      </c>
      <c r="H38">
        <v>1</v>
      </c>
      <c r="I38">
        <v>1</v>
      </c>
      <c r="J38">
        <v>1</v>
      </c>
      <c r="K38">
        <v>1</v>
      </c>
      <c r="L38">
        <v>1</v>
      </c>
      <c r="M38">
        <v>1</v>
      </c>
      <c r="N38">
        <v>1</v>
      </c>
      <c r="O38">
        <v>1</v>
      </c>
    </row>
    <row r="39" spans="1:16" x14ac:dyDescent="0.25">
      <c r="A39" t="s">
        <v>16</v>
      </c>
      <c r="B39" t="s">
        <v>70</v>
      </c>
      <c r="C39">
        <v>0</v>
      </c>
      <c r="D39">
        <v>3.0311999320983891</v>
      </c>
      <c r="E39">
        <v>1</v>
      </c>
      <c r="F39">
        <v>1</v>
      </c>
      <c r="G39">
        <v>1</v>
      </c>
      <c r="H39">
        <v>1</v>
      </c>
      <c r="I39">
        <v>1</v>
      </c>
      <c r="J39">
        <v>1</v>
      </c>
      <c r="K39">
        <v>1</v>
      </c>
      <c r="L39">
        <v>1</v>
      </c>
      <c r="M39">
        <v>1</v>
      </c>
      <c r="N39">
        <v>1</v>
      </c>
      <c r="O39">
        <v>1</v>
      </c>
    </row>
    <row r="40" spans="1:16" x14ac:dyDescent="0.25">
      <c r="A40" t="s">
        <v>16</v>
      </c>
      <c r="B40" t="s">
        <v>71</v>
      </c>
      <c r="C40">
        <v>0</v>
      </c>
      <c r="D40">
        <v>11.14219427108765</v>
      </c>
      <c r="E40">
        <v>1</v>
      </c>
      <c r="F40">
        <v>1</v>
      </c>
      <c r="G40">
        <v>1</v>
      </c>
      <c r="H40">
        <v>1</v>
      </c>
      <c r="I40">
        <v>1</v>
      </c>
      <c r="J40">
        <v>1</v>
      </c>
      <c r="K40">
        <v>0</v>
      </c>
      <c r="L40">
        <v>1</v>
      </c>
      <c r="M40">
        <v>1</v>
      </c>
      <c r="N40">
        <v>1</v>
      </c>
      <c r="O40">
        <v>1</v>
      </c>
      <c r="P40" t="s">
        <v>192</v>
      </c>
    </row>
    <row r="41" spans="1:16" x14ac:dyDescent="0.25">
      <c r="A41" t="s">
        <v>16</v>
      </c>
      <c r="B41" t="s">
        <v>73</v>
      </c>
      <c r="C41">
        <v>0</v>
      </c>
      <c r="D41">
        <v>9.0538861751556396</v>
      </c>
      <c r="E41">
        <v>0</v>
      </c>
      <c r="F41" t="s">
        <v>22</v>
      </c>
      <c r="G41" t="s">
        <v>22</v>
      </c>
      <c r="H41" t="s">
        <v>22</v>
      </c>
      <c r="I41" t="s">
        <v>22</v>
      </c>
      <c r="J41" t="s">
        <v>22</v>
      </c>
      <c r="K41" t="s">
        <v>22</v>
      </c>
      <c r="L41" t="s">
        <v>22</v>
      </c>
      <c r="M41" t="s">
        <v>22</v>
      </c>
      <c r="N41" t="s">
        <v>22</v>
      </c>
      <c r="O41" t="s">
        <v>22</v>
      </c>
      <c r="P41" t="s">
        <v>193</v>
      </c>
    </row>
    <row r="42" spans="1:16" x14ac:dyDescent="0.25">
      <c r="A42" t="s">
        <v>16</v>
      </c>
      <c r="B42" t="s">
        <v>75</v>
      </c>
      <c r="C42">
        <v>0</v>
      </c>
      <c r="D42">
        <v>10.538192272186279</v>
      </c>
      <c r="E42">
        <v>1</v>
      </c>
      <c r="F42">
        <v>1</v>
      </c>
      <c r="G42">
        <v>1</v>
      </c>
      <c r="H42">
        <v>1</v>
      </c>
      <c r="I42">
        <v>1</v>
      </c>
      <c r="J42">
        <v>1</v>
      </c>
      <c r="K42">
        <v>1</v>
      </c>
      <c r="L42">
        <v>1</v>
      </c>
      <c r="M42">
        <v>1</v>
      </c>
      <c r="N42">
        <v>1</v>
      </c>
      <c r="O42">
        <v>1</v>
      </c>
    </row>
    <row r="43" spans="1:16" x14ac:dyDescent="0.25">
      <c r="A43" t="s">
        <v>16</v>
      </c>
      <c r="B43" t="s">
        <v>77</v>
      </c>
      <c r="C43">
        <v>0</v>
      </c>
      <c r="D43">
        <v>7.7775461673736572</v>
      </c>
      <c r="E43">
        <v>1</v>
      </c>
      <c r="F43">
        <v>1</v>
      </c>
      <c r="G43">
        <v>0</v>
      </c>
      <c r="H43" t="s">
        <v>22</v>
      </c>
      <c r="I43">
        <v>1</v>
      </c>
      <c r="J43">
        <v>1</v>
      </c>
      <c r="K43">
        <v>1</v>
      </c>
      <c r="L43">
        <v>1</v>
      </c>
      <c r="M43">
        <v>0</v>
      </c>
      <c r="N43">
        <v>1</v>
      </c>
      <c r="O43">
        <v>1</v>
      </c>
      <c r="P43" t="s">
        <v>194</v>
      </c>
    </row>
    <row r="44" spans="1:16" x14ac:dyDescent="0.25">
      <c r="A44" t="s">
        <v>16</v>
      </c>
      <c r="B44" t="s">
        <v>79</v>
      </c>
      <c r="C44">
        <v>0</v>
      </c>
      <c r="D44">
        <v>5.0243139266967773</v>
      </c>
      <c r="E44">
        <v>1</v>
      </c>
      <c r="F44">
        <v>1</v>
      </c>
      <c r="G44">
        <v>0</v>
      </c>
      <c r="H44" t="s">
        <v>22</v>
      </c>
      <c r="I44">
        <v>1</v>
      </c>
      <c r="J44">
        <v>1</v>
      </c>
      <c r="K44">
        <v>1</v>
      </c>
      <c r="L44">
        <v>1</v>
      </c>
      <c r="M44">
        <v>1</v>
      </c>
      <c r="N44">
        <v>1</v>
      </c>
      <c r="O44">
        <v>1</v>
      </c>
      <c r="P44" t="s">
        <v>195</v>
      </c>
    </row>
    <row r="45" spans="1:16" x14ac:dyDescent="0.25">
      <c r="A45" t="s">
        <v>16</v>
      </c>
      <c r="B45" t="s">
        <v>81</v>
      </c>
      <c r="C45">
        <v>0</v>
      </c>
      <c r="D45">
        <v>11.3551812171936</v>
      </c>
      <c r="E45">
        <v>1</v>
      </c>
      <c r="F45">
        <v>1</v>
      </c>
      <c r="G45">
        <v>1</v>
      </c>
      <c r="H45">
        <v>1</v>
      </c>
      <c r="I45">
        <v>1</v>
      </c>
      <c r="J45">
        <v>0</v>
      </c>
      <c r="K45">
        <v>1</v>
      </c>
      <c r="L45">
        <v>1</v>
      </c>
      <c r="M45">
        <v>1</v>
      </c>
      <c r="N45">
        <v>1</v>
      </c>
      <c r="O45">
        <v>1</v>
      </c>
      <c r="P45" t="s">
        <v>196</v>
      </c>
    </row>
    <row r="46" spans="1:16" x14ac:dyDescent="0.25">
      <c r="A46" t="s">
        <v>16</v>
      </c>
      <c r="B46" t="s">
        <v>83</v>
      </c>
      <c r="C46">
        <v>0</v>
      </c>
      <c r="D46">
        <v>5.3585360050201416</v>
      </c>
      <c r="E46">
        <v>1</v>
      </c>
      <c r="F46">
        <v>1</v>
      </c>
      <c r="G46">
        <v>1</v>
      </c>
      <c r="H46">
        <v>1</v>
      </c>
      <c r="I46">
        <v>1</v>
      </c>
      <c r="J46">
        <v>0</v>
      </c>
      <c r="K46">
        <v>1</v>
      </c>
      <c r="L46">
        <v>1</v>
      </c>
      <c r="M46">
        <v>1</v>
      </c>
      <c r="N46">
        <v>1</v>
      </c>
      <c r="O46">
        <v>1</v>
      </c>
      <c r="P46" t="s">
        <v>197</v>
      </c>
    </row>
    <row r="47" spans="1:16" x14ac:dyDescent="0.25">
      <c r="A47" t="s">
        <v>16</v>
      </c>
      <c r="B47" t="s">
        <v>85</v>
      </c>
      <c r="C47">
        <v>0</v>
      </c>
      <c r="D47">
        <v>12.037616968154911</v>
      </c>
      <c r="E47">
        <v>1</v>
      </c>
      <c r="F47">
        <v>1</v>
      </c>
      <c r="G47">
        <v>1</v>
      </c>
      <c r="H47">
        <v>1</v>
      </c>
      <c r="I47">
        <v>1</v>
      </c>
      <c r="J47">
        <v>0</v>
      </c>
      <c r="K47">
        <v>1</v>
      </c>
      <c r="L47">
        <v>1</v>
      </c>
      <c r="M47">
        <v>1</v>
      </c>
      <c r="N47">
        <v>1</v>
      </c>
      <c r="O47">
        <v>1</v>
      </c>
      <c r="P47" t="s">
        <v>198</v>
      </c>
    </row>
    <row r="48" spans="1:16" x14ac:dyDescent="0.25">
      <c r="A48" t="s">
        <v>16</v>
      </c>
      <c r="B48" t="s">
        <v>87</v>
      </c>
      <c r="C48">
        <v>0</v>
      </c>
      <c r="D48">
        <v>12.445555925369259</v>
      </c>
      <c r="E48">
        <v>1</v>
      </c>
      <c r="F48">
        <v>1</v>
      </c>
      <c r="G48">
        <v>1</v>
      </c>
      <c r="H48">
        <v>0</v>
      </c>
      <c r="I48">
        <v>1</v>
      </c>
      <c r="J48">
        <v>0</v>
      </c>
      <c r="K48">
        <v>1</v>
      </c>
      <c r="L48">
        <v>1</v>
      </c>
      <c r="M48">
        <v>1</v>
      </c>
      <c r="N48">
        <v>1</v>
      </c>
      <c r="O48">
        <v>1</v>
      </c>
      <c r="P48" t="s">
        <v>199</v>
      </c>
    </row>
    <row r="49" spans="1:16" x14ac:dyDescent="0.25">
      <c r="A49" t="s">
        <v>16</v>
      </c>
      <c r="B49" t="s">
        <v>89</v>
      </c>
      <c r="C49">
        <v>0</v>
      </c>
      <c r="D49">
        <v>8.8264439105987549</v>
      </c>
      <c r="E49">
        <v>1</v>
      </c>
      <c r="F49">
        <v>1</v>
      </c>
      <c r="G49">
        <v>1</v>
      </c>
      <c r="H49">
        <v>1</v>
      </c>
      <c r="I49">
        <v>1</v>
      </c>
      <c r="J49">
        <v>1</v>
      </c>
      <c r="K49">
        <v>1</v>
      </c>
      <c r="L49">
        <v>1</v>
      </c>
      <c r="M49">
        <v>1</v>
      </c>
      <c r="N49">
        <v>1</v>
      </c>
      <c r="O49">
        <v>1</v>
      </c>
    </row>
    <row r="50" spans="1:16" x14ac:dyDescent="0.25">
      <c r="A50" t="s">
        <v>16</v>
      </c>
      <c r="B50" t="s">
        <v>90</v>
      </c>
      <c r="C50">
        <v>0</v>
      </c>
      <c r="D50">
        <v>5.0662703514099121</v>
      </c>
      <c r="E50">
        <v>1</v>
      </c>
      <c r="F50">
        <v>1</v>
      </c>
      <c r="G50">
        <v>1</v>
      </c>
      <c r="H50">
        <v>1</v>
      </c>
      <c r="I50">
        <v>1</v>
      </c>
      <c r="J50">
        <v>0</v>
      </c>
      <c r="K50">
        <v>1</v>
      </c>
      <c r="L50">
        <v>1</v>
      </c>
      <c r="M50">
        <v>1</v>
      </c>
      <c r="N50">
        <v>1</v>
      </c>
      <c r="O50">
        <v>1</v>
      </c>
      <c r="P50" t="s">
        <v>200</v>
      </c>
    </row>
    <row r="51" spans="1:16" x14ac:dyDescent="0.25">
      <c r="A51" t="s">
        <v>92</v>
      </c>
      <c r="B51" t="s">
        <v>17</v>
      </c>
      <c r="C51">
        <v>0</v>
      </c>
      <c r="D51">
        <v>11.931627035140989</v>
      </c>
      <c r="E51">
        <v>1</v>
      </c>
      <c r="F51">
        <v>1</v>
      </c>
      <c r="G51">
        <v>1</v>
      </c>
      <c r="H51">
        <v>1</v>
      </c>
      <c r="I51">
        <v>1</v>
      </c>
      <c r="J51">
        <v>0</v>
      </c>
      <c r="K51">
        <v>1</v>
      </c>
      <c r="L51">
        <v>1</v>
      </c>
      <c r="M51">
        <v>1</v>
      </c>
      <c r="N51">
        <v>1</v>
      </c>
      <c r="O51">
        <v>1</v>
      </c>
      <c r="P51" t="s">
        <v>201</v>
      </c>
    </row>
    <row r="52" spans="1:16" x14ac:dyDescent="0.25">
      <c r="A52" t="s">
        <v>92</v>
      </c>
      <c r="B52" t="s">
        <v>19</v>
      </c>
      <c r="C52">
        <v>0</v>
      </c>
      <c r="D52">
        <v>10.021155118942261</v>
      </c>
      <c r="E52">
        <v>1</v>
      </c>
      <c r="F52">
        <v>1</v>
      </c>
      <c r="G52">
        <v>0</v>
      </c>
      <c r="H52" t="s">
        <v>22</v>
      </c>
      <c r="I52">
        <v>1</v>
      </c>
      <c r="J52">
        <v>1</v>
      </c>
      <c r="K52">
        <v>1</v>
      </c>
      <c r="L52">
        <v>1</v>
      </c>
      <c r="M52">
        <v>1</v>
      </c>
      <c r="N52">
        <v>1</v>
      </c>
      <c r="O52">
        <v>1</v>
      </c>
      <c r="P52" t="s">
        <v>202</v>
      </c>
    </row>
    <row r="53" spans="1:16" x14ac:dyDescent="0.25">
      <c r="A53" t="s">
        <v>92</v>
      </c>
      <c r="B53" t="s">
        <v>20</v>
      </c>
      <c r="C53">
        <v>0</v>
      </c>
      <c r="D53">
        <v>7.5161824226379386</v>
      </c>
      <c r="E53">
        <v>1</v>
      </c>
      <c r="F53">
        <v>1</v>
      </c>
      <c r="G53">
        <v>1</v>
      </c>
      <c r="H53">
        <v>1</v>
      </c>
      <c r="I53">
        <v>1</v>
      </c>
      <c r="J53">
        <v>0</v>
      </c>
      <c r="K53">
        <v>0</v>
      </c>
      <c r="L53">
        <v>1</v>
      </c>
      <c r="M53">
        <v>1</v>
      </c>
      <c r="N53">
        <v>1</v>
      </c>
      <c r="O53">
        <v>1</v>
      </c>
      <c r="P53" t="s">
        <v>203</v>
      </c>
    </row>
    <row r="54" spans="1:16" x14ac:dyDescent="0.25">
      <c r="A54" t="s">
        <v>92</v>
      </c>
      <c r="B54" t="s">
        <v>21</v>
      </c>
      <c r="C54">
        <v>0</v>
      </c>
      <c r="D54">
        <v>2.9210894107818599</v>
      </c>
      <c r="E54">
        <v>1</v>
      </c>
      <c r="F54">
        <v>1</v>
      </c>
      <c r="G54">
        <v>1</v>
      </c>
      <c r="H54">
        <v>1</v>
      </c>
      <c r="I54">
        <v>1</v>
      </c>
      <c r="J54">
        <v>1</v>
      </c>
      <c r="K54">
        <v>1</v>
      </c>
      <c r="L54">
        <v>1</v>
      </c>
      <c r="M54">
        <v>1</v>
      </c>
      <c r="N54">
        <v>1</v>
      </c>
      <c r="O54">
        <v>1</v>
      </c>
    </row>
    <row r="55" spans="1:16" x14ac:dyDescent="0.25">
      <c r="A55" t="s">
        <v>92</v>
      </c>
      <c r="B55" t="s">
        <v>24</v>
      </c>
      <c r="C55">
        <v>0</v>
      </c>
      <c r="D55">
        <v>10.8300883769989</v>
      </c>
      <c r="E55">
        <v>1</v>
      </c>
      <c r="F55">
        <v>1</v>
      </c>
      <c r="G55">
        <v>1</v>
      </c>
      <c r="H55">
        <v>1</v>
      </c>
      <c r="I55">
        <v>1</v>
      </c>
      <c r="J55">
        <v>0</v>
      </c>
      <c r="K55">
        <v>1</v>
      </c>
      <c r="L55">
        <v>1</v>
      </c>
      <c r="M55">
        <v>1</v>
      </c>
      <c r="N55">
        <v>1</v>
      </c>
      <c r="O55">
        <v>1</v>
      </c>
      <c r="P55" t="s">
        <v>204</v>
      </c>
    </row>
    <row r="56" spans="1:16" x14ac:dyDescent="0.25">
      <c r="A56" t="s">
        <v>92</v>
      </c>
      <c r="B56" t="s">
        <v>25</v>
      </c>
      <c r="C56">
        <v>0</v>
      </c>
      <c r="D56">
        <v>6.614145040512085</v>
      </c>
      <c r="E56">
        <v>1</v>
      </c>
      <c r="F56">
        <v>1</v>
      </c>
      <c r="G56">
        <v>0</v>
      </c>
      <c r="H56" t="s">
        <v>22</v>
      </c>
      <c r="I56">
        <v>1</v>
      </c>
      <c r="J56">
        <v>1</v>
      </c>
      <c r="K56">
        <v>1</v>
      </c>
      <c r="L56">
        <v>1</v>
      </c>
      <c r="M56">
        <v>1</v>
      </c>
      <c r="N56">
        <v>1</v>
      </c>
      <c r="O56">
        <v>1</v>
      </c>
      <c r="P56" t="s">
        <v>205</v>
      </c>
    </row>
    <row r="57" spans="1:16" x14ac:dyDescent="0.25">
      <c r="A57" t="s">
        <v>92</v>
      </c>
      <c r="B57" t="s">
        <v>26</v>
      </c>
      <c r="C57">
        <v>0</v>
      </c>
      <c r="D57">
        <v>9.2682793140411377</v>
      </c>
      <c r="E57">
        <v>1</v>
      </c>
      <c r="F57">
        <v>1</v>
      </c>
      <c r="G57">
        <v>1</v>
      </c>
      <c r="H57">
        <v>1</v>
      </c>
      <c r="I57">
        <v>1</v>
      </c>
      <c r="J57">
        <v>1</v>
      </c>
      <c r="K57">
        <v>1</v>
      </c>
      <c r="L57">
        <v>1</v>
      </c>
      <c r="M57">
        <v>1</v>
      </c>
      <c r="N57">
        <v>1</v>
      </c>
      <c r="O57">
        <v>1</v>
      </c>
    </row>
    <row r="58" spans="1:16" x14ac:dyDescent="0.25">
      <c r="A58" t="s">
        <v>92</v>
      </c>
      <c r="B58" t="s">
        <v>27</v>
      </c>
      <c r="C58">
        <v>0</v>
      </c>
      <c r="D58">
        <v>14.442602396011351</v>
      </c>
      <c r="E58">
        <v>1</v>
      </c>
      <c r="F58">
        <v>1</v>
      </c>
      <c r="G58">
        <v>1</v>
      </c>
      <c r="H58">
        <v>1</v>
      </c>
      <c r="I58">
        <v>1</v>
      </c>
      <c r="J58">
        <v>0</v>
      </c>
      <c r="K58">
        <v>1</v>
      </c>
      <c r="L58">
        <v>1</v>
      </c>
      <c r="M58">
        <v>1</v>
      </c>
      <c r="N58">
        <v>1</v>
      </c>
      <c r="O58">
        <v>1</v>
      </c>
      <c r="P58" t="s">
        <v>206</v>
      </c>
    </row>
    <row r="59" spans="1:16" x14ac:dyDescent="0.25">
      <c r="A59" t="s">
        <v>92</v>
      </c>
      <c r="B59" t="s">
        <v>28</v>
      </c>
      <c r="C59">
        <v>0</v>
      </c>
      <c r="D59">
        <v>9.4025464057922363</v>
      </c>
      <c r="E59">
        <v>1</v>
      </c>
      <c r="F59">
        <v>1</v>
      </c>
      <c r="G59">
        <v>1</v>
      </c>
      <c r="H59">
        <v>1</v>
      </c>
      <c r="I59">
        <v>1</v>
      </c>
      <c r="J59">
        <v>1</v>
      </c>
      <c r="K59">
        <v>1</v>
      </c>
      <c r="L59">
        <v>1</v>
      </c>
      <c r="M59">
        <v>1</v>
      </c>
      <c r="N59">
        <v>1</v>
      </c>
      <c r="O59">
        <v>1</v>
      </c>
    </row>
    <row r="60" spans="1:16" x14ac:dyDescent="0.25">
      <c r="A60" t="s">
        <v>92</v>
      </c>
      <c r="B60" t="s">
        <v>29</v>
      </c>
      <c r="C60">
        <v>0</v>
      </c>
      <c r="D60">
        <v>4.9054663181304932</v>
      </c>
      <c r="E60">
        <v>1</v>
      </c>
      <c r="F60">
        <v>1</v>
      </c>
      <c r="G60">
        <v>1</v>
      </c>
      <c r="H60">
        <v>1</v>
      </c>
      <c r="I60">
        <v>1</v>
      </c>
      <c r="J60">
        <v>1</v>
      </c>
      <c r="K60">
        <v>0</v>
      </c>
      <c r="L60">
        <v>1</v>
      </c>
      <c r="M60">
        <v>1</v>
      </c>
      <c r="N60">
        <v>1</v>
      </c>
      <c r="O60">
        <v>1</v>
      </c>
      <c r="P60" t="s">
        <v>207</v>
      </c>
    </row>
    <row r="61" spans="1:16" x14ac:dyDescent="0.25">
      <c r="A61" t="s">
        <v>92</v>
      </c>
      <c r="B61" t="s">
        <v>30</v>
      </c>
      <c r="C61">
        <v>0</v>
      </c>
      <c r="D61">
        <v>7.8476910591125488</v>
      </c>
      <c r="E61">
        <v>1</v>
      </c>
      <c r="F61">
        <v>1</v>
      </c>
      <c r="G61">
        <v>1</v>
      </c>
      <c r="H61">
        <v>1</v>
      </c>
      <c r="I61">
        <v>1</v>
      </c>
      <c r="J61">
        <v>1</v>
      </c>
      <c r="K61">
        <v>1</v>
      </c>
      <c r="L61">
        <v>1</v>
      </c>
      <c r="M61">
        <v>1</v>
      </c>
      <c r="N61">
        <v>1</v>
      </c>
      <c r="O61">
        <v>1</v>
      </c>
    </row>
    <row r="62" spans="1:16" x14ac:dyDescent="0.25">
      <c r="A62" t="s">
        <v>92</v>
      </c>
      <c r="B62" t="s">
        <v>32</v>
      </c>
      <c r="C62">
        <v>0</v>
      </c>
      <c r="D62">
        <v>3.090185403823853</v>
      </c>
      <c r="E62">
        <v>1</v>
      </c>
      <c r="F62">
        <v>1</v>
      </c>
      <c r="G62">
        <v>1</v>
      </c>
      <c r="H62">
        <v>1</v>
      </c>
      <c r="I62">
        <v>1</v>
      </c>
      <c r="J62">
        <v>1</v>
      </c>
      <c r="K62">
        <v>1</v>
      </c>
      <c r="L62">
        <v>1</v>
      </c>
      <c r="M62">
        <v>1</v>
      </c>
      <c r="N62">
        <v>1</v>
      </c>
      <c r="O62">
        <v>1</v>
      </c>
    </row>
    <row r="63" spans="1:16" x14ac:dyDescent="0.25">
      <c r="A63" t="s">
        <v>92</v>
      </c>
      <c r="B63" t="s">
        <v>33</v>
      </c>
      <c r="C63">
        <v>0</v>
      </c>
      <c r="D63">
        <v>2.9296267032623291</v>
      </c>
      <c r="E63">
        <v>1</v>
      </c>
      <c r="F63">
        <v>1</v>
      </c>
      <c r="G63">
        <v>1</v>
      </c>
      <c r="H63">
        <v>1</v>
      </c>
      <c r="I63">
        <v>1</v>
      </c>
      <c r="J63">
        <v>1</v>
      </c>
      <c r="K63">
        <v>1</v>
      </c>
      <c r="L63">
        <v>1</v>
      </c>
      <c r="M63">
        <v>1</v>
      </c>
      <c r="N63">
        <v>1</v>
      </c>
      <c r="O63">
        <v>1</v>
      </c>
    </row>
    <row r="64" spans="1:16" x14ac:dyDescent="0.25">
      <c r="A64" t="s">
        <v>92</v>
      </c>
      <c r="B64" t="s">
        <v>35</v>
      </c>
      <c r="C64">
        <v>0</v>
      </c>
      <c r="D64">
        <v>9.4290635585784912</v>
      </c>
      <c r="E64">
        <v>1</v>
      </c>
      <c r="F64">
        <v>1</v>
      </c>
      <c r="G64">
        <v>1</v>
      </c>
      <c r="H64">
        <v>1</v>
      </c>
      <c r="I64">
        <v>1</v>
      </c>
      <c r="J64">
        <v>1</v>
      </c>
      <c r="K64">
        <v>1</v>
      </c>
      <c r="L64">
        <v>1</v>
      </c>
      <c r="M64">
        <v>1</v>
      </c>
      <c r="N64">
        <v>1</v>
      </c>
      <c r="O64">
        <v>1</v>
      </c>
    </row>
    <row r="65" spans="1:16" x14ac:dyDescent="0.25">
      <c r="A65" t="s">
        <v>92</v>
      </c>
      <c r="B65" t="s">
        <v>36</v>
      </c>
      <c r="C65">
        <v>0</v>
      </c>
      <c r="D65">
        <v>7.4076402187347412</v>
      </c>
      <c r="E65">
        <v>1</v>
      </c>
      <c r="F65">
        <v>0</v>
      </c>
      <c r="G65">
        <v>1</v>
      </c>
      <c r="H65" t="s">
        <v>22</v>
      </c>
      <c r="I65">
        <v>1</v>
      </c>
      <c r="J65" t="s">
        <v>22</v>
      </c>
      <c r="K65">
        <v>1</v>
      </c>
      <c r="L65">
        <v>1</v>
      </c>
      <c r="M65">
        <v>1</v>
      </c>
      <c r="N65">
        <v>1</v>
      </c>
      <c r="O65">
        <v>1</v>
      </c>
      <c r="P65" t="s">
        <v>208</v>
      </c>
    </row>
    <row r="66" spans="1:16" x14ac:dyDescent="0.25">
      <c r="A66" t="s">
        <v>92</v>
      </c>
      <c r="B66" t="s">
        <v>38</v>
      </c>
      <c r="C66">
        <v>0</v>
      </c>
      <c r="D66">
        <v>10.041717767715451</v>
      </c>
      <c r="E66">
        <v>1</v>
      </c>
      <c r="F66">
        <v>1</v>
      </c>
      <c r="G66">
        <v>1</v>
      </c>
      <c r="H66">
        <v>1</v>
      </c>
      <c r="I66">
        <v>1</v>
      </c>
      <c r="J66">
        <v>1</v>
      </c>
      <c r="K66">
        <v>1</v>
      </c>
      <c r="L66">
        <v>1</v>
      </c>
      <c r="M66">
        <v>1</v>
      </c>
      <c r="N66">
        <v>1</v>
      </c>
      <c r="O66">
        <v>1</v>
      </c>
    </row>
    <row r="67" spans="1:16" x14ac:dyDescent="0.25">
      <c r="A67" t="s">
        <v>92</v>
      </c>
      <c r="B67" t="s">
        <v>39</v>
      </c>
      <c r="C67">
        <v>0</v>
      </c>
      <c r="D67">
        <v>2.941272497177124</v>
      </c>
      <c r="E67">
        <v>1</v>
      </c>
      <c r="F67">
        <v>1</v>
      </c>
      <c r="G67">
        <v>1</v>
      </c>
      <c r="H67">
        <v>1</v>
      </c>
      <c r="I67">
        <v>1</v>
      </c>
      <c r="J67">
        <v>1</v>
      </c>
      <c r="K67">
        <v>1</v>
      </c>
      <c r="L67">
        <v>1</v>
      </c>
      <c r="M67">
        <v>1</v>
      </c>
      <c r="N67">
        <v>1</v>
      </c>
      <c r="O67">
        <v>1</v>
      </c>
    </row>
    <row r="68" spans="1:16" x14ac:dyDescent="0.25">
      <c r="A68" t="s">
        <v>92</v>
      </c>
      <c r="B68" t="s">
        <v>40</v>
      </c>
      <c r="C68">
        <v>0</v>
      </c>
      <c r="D68">
        <v>12.647549629211429</v>
      </c>
      <c r="E68">
        <v>1</v>
      </c>
      <c r="F68">
        <v>1</v>
      </c>
      <c r="G68">
        <v>0</v>
      </c>
      <c r="H68" t="s">
        <v>22</v>
      </c>
      <c r="I68">
        <v>1</v>
      </c>
      <c r="J68">
        <v>1</v>
      </c>
      <c r="K68">
        <v>1</v>
      </c>
      <c r="L68">
        <v>1</v>
      </c>
      <c r="M68">
        <v>0</v>
      </c>
      <c r="N68">
        <v>1</v>
      </c>
      <c r="O68">
        <v>1</v>
      </c>
      <c r="P68" t="s">
        <v>209</v>
      </c>
    </row>
    <row r="69" spans="1:16" x14ac:dyDescent="0.25">
      <c r="A69" t="s">
        <v>92</v>
      </c>
      <c r="B69" t="s">
        <v>41</v>
      </c>
      <c r="C69">
        <v>0</v>
      </c>
      <c r="D69">
        <v>11.425162315368651</v>
      </c>
      <c r="E69">
        <v>1</v>
      </c>
      <c r="F69">
        <v>1</v>
      </c>
      <c r="G69">
        <v>0</v>
      </c>
      <c r="H69" t="s">
        <v>22</v>
      </c>
      <c r="I69">
        <v>1</v>
      </c>
      <c r="J69">
        <v>1</v>
      </c>
      <c r="K69">
        <v>1</v>
      </c>
      <c r="L69">
        <v>1</v>
      </c>
      <c r="M69">
        <v>1</v>
      </c>
      <c r="N69">
        <v>1</v>
      </c>
      <c r="O69">
        <v>1</v>
      </c>
      <c r="P69" t="s">
        <v>210</v>
      </c>
    </row>
    <row r="70" spans="1:16" x14ac:dyDescent="0.25">
      <c r="A70" t="s">
        <v>92</v>
      </c>
      <c r="B70" t="s">
        <v>43</v>
      </c>
      <c r="C70">
        <v>0</v>
      </c>
      <c r="D70">
        <v>8.4926323890686035</v>
      </c>
      <c r="E70">
        <v>1</v>
      </c>
      <c r="F70">
        <v>1</v>
      </c>
      <c r="G70">
        <v>1</v>
      </c>
      <c r="H70">
        <v>1</v>
      </c>
      <c r="I70">
        <v>1</v>
      </c>
      <c r="J70">
        <v>1</v>
      </c>
      <c r="K70">
        <v>1</v>
      </c>
      <c r="L70">
        <v>1</v>
      </c>
      <c r="M70">
        <v>1</v>
      </c>
      <c r="N70">
        <v>1</v>
      </c>
      <c r="O70">
        <v>1</v>
      </c>
    </row>
    <row r="71" spans="1:16" x14ac:dyDescent="0.25">
      <c r="A71" t="s">
        <v>92</v>
      </c>
      <c r="B71" t="s">
        <v>44</v>
      </c>
      <c r="C71">
        <v>0</v>
      </c>
      <c r="D71">
        <v>11.245758771896361</v>
      </c>
      <c r="E71">
        <v>1</v>
      </c>
      <c r="F71">
        <v>1</v>
      </c>
      <c r="G71">
        <v>1</v>
      </c>
      <c r="H71">
        <v>1</v>
      </c>
      <c r="I71">
        <v>1</v>
      </c>
      <c r="J71">
        <v>1</v>
      </c>
      <c r="K71">
        <v>1</v>
      </c>
      <c r="L71">
        <v>1</v>
      </c>
      <c r="M71">
        <v>1</v>
      </c>
      <c r="N71">
        <v>1</v>
      </c>
      <c r="O71">
        <v>1</v>
      </c>
    </row>
    <row r="72" spans="1:16" x14ac:dyDescent="0.25">
      <c r="A72" t="s">
        <v>92</v>
      </c>
      <c r="B72" t="s">
        <v>45</v>
      </c>
      <c r="C72">
        <v>0</v>
      </c>
      <c r="D72">
        <v>10.28169012069702</v>
      </c>
      <c r="E72">
        <v>1</v>
      </c>
      <c r="F72">
        <v>1</v>
      </c>
      <c r="G72">
        <v>1</v>
      </c>
      <c r="H72">
        <v>1</v>
      </c>
      <c r="I72">
        <v>1</v>
      </c>
      <c r="J72">
        <v>1</v>
      </c>
      <c r="K72">
        <v>1</v>
      </c>
      <c r="L72">
        <v>1</v>
      </c>
      <c r="M72">
        <v>1</v>
      </c>
      <c r="N72">
        <v>1</v>
      </c>
      <c r="O72">
        <v>1</v>
      </c>
    </row>
    <row r="73" spans="1:16" x14ac:dyDescent="0.25">
      <c r="A73" t="s">
        <v>92</v>
      </c>
      <c r="B73" t="s">
        <v>46</v>
      </c>
      <c r="C73">
        <v>0</v>
      </c>
      <c r="D73">
        <v>2.8853719234466548</v>
      </c>
      <c r="E73">
        <v>1</v>
      </c>
      <c r="F73">
        <v>1</v>
      </c>
      <c r="G73">
        <v>1</v>
      </c>
      <c r="H73">
        <v>1</v>
      </c>
      <c r="I73">
        <v>1</v>
      </c>
      <c r="J73">
        <v>1</v>
      </c>
      <c r="K73">
        <v>1</v>
      </c>
      <c r="L73">
        <v>1</v>
      </c>
      <c r="M73">
        <v>1</v>
      </c>
      <c r="N73">
        <v>1</v>
      </c>
      <c r="O73">
        <v>1</v>
      </c>
    </row>
    <row r="74" spans="1:16" x14ac:dyDescent="0.25">
      <c r="A74" t="s">
        <v>92</v>
      </c>
      <c r="B74" t="s">
        <v>47</v>
      </c>
      <c r="C74">
        <v>0</v>
      </c>
      <c r="D74">
        <v>11.217943429946899</v>
      </c>
      <c r="E74">
        <v>1</v>
      </c>
      <c r="F74">
        <v>1</v>
      </c>
      <c r="G74">
        <v>1</v>
      </c>
      <c r="H74">
        <v>1</v>
      </c>
      <c r="I74">
        <v>1</v>
      </c>
      <c r="J74">
        <v>1</v>
      </c>
      <c r="K74">
        <v>1</v>
      </c>
      <c r="L74">
        <v>1</v>
      </c>
      <c r="M74">
        <v>1</v>
      </c>
      <c r="N74">
        <v>1</v>
      </c>
      <c r="O74">
        <v>1</v>
      </c>
    </row>
    <row r="75" spans="1:16" x14ac:dyDescent="0.25">
      <c r="A75" t="s">
        <v>92</v>
      </c>
      <c r="B75" t="s">
        <v>48</v>
      </c>
      <c r="C75">
        <v>0</v>
      </c>
      <c r="D75">
        <v>9.8390038013458252</v>
      </c>
      <c r="E75">
        <v>1</v>
      </c>
      <c r="F75">
        <v>1</v>
      </c>
      <c r="G75">
        <v>1</v>
      </c>
      <c r="H75">
        <v>1</v>
      </c>
      <c r="I75">
        <v>1</v>
      </c>
      <c r="J75">
        <v>1</v>
      </c>
      <c r="K75">
        <v>1</v>
      </c>
      <c r="L75">
        <v>1</v>
      </c>
      <c r="M75">
        <v>1</v>
      </c>
      <c r="N75">
        <v>1</v>
      </c>
      <c r="O75">
        <v>1</v>
      </c>
    </row>
    <row r="76" spans="1:16" x14ac:dyDescent="0.25">
      <c r="A76" t="s">
        <v>92</v>
      </c>
      <c r="B76" t="s">
        <v>49</v>
      </c>
      <c r="C76">
        <v>0</v>
      </c>
      <c r="D76">
        <v>8.0661654472351074</v>
      </c>
      <c r="E76">
        <v>1</v>
      </c>
      <c r="F76">
        <v>1</v>
      </c>
      <c r="G76">
        <v>1</v>
      </c>
      <c r="H76">
        <v>1</v>
      </c>
      <c r="I76">
        <v>1</v>
      </c>
      <c r="J76">
        <v>1</v>
      </c>
      <c r="K76">
        <v>1</v>
      </c>
      <c r="L76">
        <v>1</v>
      </c>
      <c r="M76">
        <v>1</v>
      </c>
      <c r="N76">
        <v>1</v>
      </c>
      <c r="O76">
        <v>1</v>
      </c>
    </row>
    <row r="77" spans="1:16" x14ac:dyDescent="0.25">
      <c r="A77" t="s">
        <v>92</v>
      </c>
      <c r="B77" t="s">
        <v>51</v>
      </c>
      <c r="C77">
        <v>0</v>
      </c>
      <c r="D77">
        <v>4.8132257461547852</v>
      </c>
      <c r="E77">
        <v>1</v>
      </c>
      <c r="F77">
        <v>0</v>
      </c>
      <c r="G77">
        <v>1</v>
      </c>
      <c r="H77" t="s">
        <v>22</v>
      </c>
      <c r="I77">
        <v>1</v>
      </c>
      <c r="J77" t="s">
        <v>22</v>
      </c>
      <c r="K77">
        <v>1</v>
      </c>
      <c r="L77">
        <v>1</v>
      </c>
      <c r="M77">
        <v>1</v>
      </c>
      <c r="N77">
        <v>1</v>
      </c>
      <c r="O77">
        <v>1</v>
      </c>
      <c r="P77" t="s">
        <v>211</v>
      </c>
    </row>
    <row r="78" spans="1:16" x14ac:dyDescent="0.25">
      <c r="A78" t="s">
        <v>92</v>
      </c>
      <c r="B78" t="s">
        <v>53</v>
      </c>
      <c r="C78">
        <v>0</v>
      </c>
      <c r="D78">
        <v>5.00240159034729</v>
      </c>
      <c r="E78">
        <v>1</v>
      </c>
      <c r="F78">
        <v>0</v>
      </c>
      <c r="G78">
        <v>1</v>
      </c>
      <c r="H78" t="s">
        <v>22</v>
      </c>
      <c r="I78">
        <v>1</v>
      </c>
      <c r="J78" t="s">
        <v>22</v>
      </c>
      <c r="K78">
        <v>1</v>
      </c>
      <c r="L78">
        <v>1</v>
      </c>
      <c r="M78">
        <v>1</v>
      </c>
      <c r="N78">
        <v>1</v>
      </c>
      <c r="O78">
        <v>1</v>
      </c>
      <c r="P78" t="s">
        <v>212</v>
      </c>
    </row>
    <row r="79" spans="1:16" x14ac:dyDescent="0.25">
      <c r="A79" t="s">
        <v>92</v>
      </c>
      <c r="B79" t="s">
        <v>54</v>
      </c>
      <c r="C79">
        <v>0</v>
      </c>
      <c r="D79">
        <v>6.9890453815460214</v>
      </c>
      <c r="E79">
        <v>1</v>
      </c>
      <c r="F79">
        <v>1</v>
      </c>
      <c r="G79">
        <v>1</v>
      </c>
      <c r="H79">
        <v>1</v>
      </c>
      <c r="I79">
        <v>1</v>
      </c>
      <c r="J79">
        <v>1</v>
      </c>
      <c r="K79">
        <v>1</v>
      </c>
      <c r="L79">
        <v>1</v>
      </c>
      <c r="M79">
        <v>1</v>
      </c>
      <c r="N79">
        <v>1</v>
      </c>
      <c r="O79">
        <v>1</v>
      </c>
    </row>
    <row r="80" spans="1:16" x14ac:dyDescent="0.25">
      <c r="A80" t="s">
        <v>92</v>
      </c>
      <c r="B80" t="s">
        <v>56</v>
      </c>
      <c r="C80">
        <v>0</v>
      </c>
      <c r="D80">
        <v>9.1687216758728027</v>
      </c>
      <c r="E80">
        <v>1</v>
      </c>
      <c r="F80">
        <v>1</v>
      </c>
      <c r="G80">
        <v>1</v>
      </c>
      <c r="H80">
        <v>1</v>
      </c>
      <c r="I80">
        <v>1</v>
      </c>
      <c r="J80">
        <v>1</v>
      </c>
      <c r="K80">
        <v>1</v>
      </c>
      <c r="L80">
        <v>1</v>
      </c>
      <c r="M80">
        <v>1</v>
      </c>
      <c r="N80">
        <v>1</v>
      </c>
      <c r="O80">
        <v>1</v>
      </c>
    </row>
    <row r="81" spans="1:16" x14ac:dyDescent="0.25">
      <c r="A81" t="s">
        <v>92</v>
      </c>
      <c r="B81" t="s">
        <v>58</v>
      </c>
      <c r="C81">
        <v>0</v>
      </c>
      <c r="D81">
        <v>11.410470008850099</v>
      </c>
      <c r="E81">
        <v>1</v>
      </c>
      <c r="F81">
        <v>1</v>
      </c>
      <c r="G81">
        <v>0</v>
      </c>
      <c r="H81" t="s">
        <v>22</v>
      </c>
      <c r="I81">
        <v>1</v>
      </c>
      <c r="J81">
        <v>1</v>
      </c>
      <c r="K81">
        <v>0</v>
      </c>
      <c r="L81">
        <v>1</v>
      </c>
      <c r="M81">
        <v>1</v>
      </c>
      <c r="N81">
        <v>1</v>
      </c>
      <c r="O81">
        <v>1</v>
      </c>
      <c r="P81" t="s">
        <v>213</v>
      </c>
    </row>
    <row r="82" spans="1:16" x14ac:dyDescent="0.25">
      <c r="A82" t="s">
        <v>92</v>
      </c>
      <c r="B82" t="s">
        <v>60</v>
      </c>
      <c r="C82">
        <v>0</v>
      </c>
      <c r="D82">
        <v>6.7229022979736328</v>
      </c>
      <c r="E82">
        <v>1</v>
      </c>
      <c r="F82">
        <v>1</v>
      </c>
      <c r="G82">
        <v>0</v>
      </c>
      <c r="H82" t="s">
        <v>22</v>
      </c>
      <c r="I82">
        <v>1</v>
      </c>
      <c r="J82">
        <v>1</v>
      </c>
      <c r="K82">
        <v>1</v>
      </c>
      <c r="L82">
        <v>1</v>
      </c>
      <c r="M82">
        <v>1</v>
      </c>
      <c r="N82">
        <v>1</v>
      </c>
      <c r="O82">
        <v>1</v>
      </c>
      <c r="P82" t="s">
        <v>214</v>
      </c>
    </row>
    <row r="83" spans="1:16" x14ac:dyDescent="0.25">
      <c r="A83" t="s">
        <v>92</v>
      </c>
      <c r="B83" t="s">
        <v>62</v>
      </c>
      <c r="C83">
        <v>0</v>
      </c>
      <c r="D83">
        <v>8.1109457015991211</v>
      </c>
      <c r="E83">
        <v>1</v>
      </c>
      <c r="F83">
        <v>1</v>
      </c>
      <c r="G83">
        <v>1</v>
      </c>
      <c r="H83">
        <v>1</v>
      </c>
      <c r="I83">
        <v>1</v>
      </c>
      <c r="J83">
        <v>1</v>
      </c>
      <c r="K83">
        <v>1</v>
      </c>
      <c r="L83">
        <v>1</v>
      </c>
      <c r="M83">
        <v>1</v>
      </c>
      <c r="N83">
        <v>1</v>
      </c>
      <c r="O83">
        <v>1</v>
      </c>
    </row>
    <row r="84" spans="1:16" x14ac:dyDescent="0.25">
      <c r="A84" t="s">
        <v>92</v>
      </c>
      <c r="B84" t="s">
        <v>64</v>
      </c>
      <c r="C84">
        <v>0</v>
      </c>
      <c r="D84">
        <v>7.2218844890594482</v>
      </c>
      <c r="E84">
        <v>0</v>
      </c>
      <c r="F84" t="s">
        <v>22</v>
      </c>
      <c r="G84" t="s">
        <v>22</v>
      </c>
      <c r="H84" t="s">
        <v>22</v>
      </c>
      <c r="I84" t="s">
        <v>22</v>
      </c>
      <c r="J84" t="s">
        <v>22</v>
      </c>
      <c r="K84" t="s">
        <v>22</v>
      </c>
      <c r="L84" t="s">
        <v>22</v>
      </c>
      <c r="M84" t="s">
        <v>22</v>
      </c>
      <c r="N84" t="s">
        <v>22</v>
      </c>
      <c r="O84" t="s">
        <v>22</v>
      </c>
      <c r="P84" t="s">
        <v>215</v>
      </c>
    </row>
    <row r="85" spans="1:16" x14ac:dyDescent="0.25">
      <c r="A85" t="s">
        <v>92</v>
      </c>
      <c r="B85" t="s">
        <v>66</v>
      </c>
      <c r="C85">
        <v>0</v>
      </c>
      <c r="D85">
        <v>9.592503547668457</v>
      </c>
      <c r="E85">
        <v>1</v>
      </c>
      <c r="F85">
        <v>1</v>
      </c>
      <c r="G85">
        <v>1</v>
      </c>
      <c r="H85">
        <v>1</v>
      </c>
      <c r="I85">
        <v>1</v>
      </c>
      <c r="J85">
        <v>1</v>
      </c>
      <c r="K85">
        <v>1</v>
      </c>
      <c r="L85">
        <v>1</v>
      </c>
      <c r="M85">
        <v>1</v>
      </c>
      <c r="N85">
        <v>1</v>
      </c>
      <c r="O85">
        <v>1</v>
      </c>
    </row>
    <row r="86" spans="1:16" x14ac:dyDescent="0.25">
      <c r="A86" t="s">
        <v>92</v>
      </c>
      <c r="B86" t="s">
        <v>67</v>
      </c>
      <c r="C86">
        <v>0</v>
      </c>
      <c r="D86">
        <v>12.05483031272888</v>
      </c>
      <c r="E86">
        <v>1</v>
      </c>
      <c r="F86">
        <v>1</v>
      </c>
      <c r="G86">
        <v>1</v>
      </c>
      <c r="H86">
        <v>1</v>
      </c>
      <c r="I86">
        <v>1</v>
      </c>
      <c r="J86">
        <v>1</v>
      </c>
      <c r="K86">
        <v>1</v>
      </c>
      <c r="L86">
        <v>1</v>
      </c>
      <c r="M86">
        <v>1</v>
      </c>
      <c r="N86">
        <v>1</v>
      </c>
      <c r="O86">
        <v>1</v>
      </c>
    </row>
    <row r="87" spans="1:16" x14ac:dyDescent="0.25">
      <c r="A87" t="s">
        <v>92</v>
      </c>
      <c r="B87" t="s">
        <v>69</v>
      </c>
      <c r="C87">
        <v>0</v>
      </c>
      <c r="D87">
        <v>2.978431224822998</v>
      </c>
      <c r="E87">
        <v>1</v>
      </c>
      <c r="F87">
        <v>1</v>
      </c>
      <c r="G87">
        <v>1</v>
      </c>
      <c r="H87">
        <v>1</v>
      </c>
      <c r="I87">
        <v>1</v>
      </c>
      <c r="J87">
        <v>1</v>
      </c>
      <c r="K87">
        <v>1</v>
      </c>
      <c r="L87">
        <v>1</v>
      </c>
      <c r="M87">
        <v>1</v>
      </c>
      <c r="N87">
        <v>1</v>
      </c>
      <c r="O87">
        <v>1</v>
      </c>
    </row>
    <row r="88" spans="1:16" x14ac:dyDescent="0.25">
      <c r="A88" t="s">
        <v>92</v>
      </c>
      <c r="B88" t="s">
        <v>70</v>
      </c>
      <c r="C88">
        <v>0</v>
      </c>
      <c r="D88">
        <v>13.83016037940979</v>
      </c>
      <c r="E88">
        <v>1</v>
      </c>
      <c r="F88">
        <v>1</v>
      </c>
      <c r="G88">
        <v>1</v>
      </c>
      <c r="H88">
        <v>0</v>
      </c>
      <c r="I88">
        <v>1</v>
      </c>
      <c r="J88">
        <v>1</v>
      </c>
      <c r="K88">
        <v>1</v>
      </c>
      <c r="L88">
        <v>1</v>
      </c>
      <c r="M88">
        <v>1</v>
      </c>
      <c r="N88">
        <v>1</v>
      </c>
      <c r="O88">
        <v>1</v>
      </c>
      <c r="P88" t="s">
        <v>216</v>
      </c>
    </row>
    <row r="89" spans="1:16" x14ac:dyDescent="0.25">
      <c r="A89" t="s">
        <v>92</v>
      </c>
      <c r="B89" t="s">
        <v>71</v>
      </c>
      <c r="C89">
        <v>0</v>
      </c>
      <c r="D89">
        <v>9.5830621719360352</v>
      </c>
      <c r="E89">
        <v>1</v>
      </c>
      <c r="F89">
        <v>1</v>
      </c>
      <c r="G89">
        <v>1</v>
      </c>
      <c r="H89">
        <v>1</v>
      </c>
      <c r="I89">
        <v>1</v>
      </c>
      <c r="J89">
        <v>1</v>
      </c>
      <c r="K89">
        <v>1</v>
      </c>
      <c r="L89">
        <v>1</v>
      </c>
      <c r="M89">
        <v>1</v>
      </c>
      <c r="N89">
        <v>1</v>
      </c>
      <c r="O89">
        <v>1</v>
      </c>
    </row>
    <row r="90" spans="1:16" x14ac:dyDescent="0.25">
      <c r="A90" t="s">
        <v>92</v>
      </c>
      <c r="B90" t="s">
        <v>73</v>
      </c>
      <c r="C90">
        <v>0</v>
      </c>
      <c r="D90">
        <v>10.133408784866329</v>
      </c>
      <c r="E90">
        <v>1</v>
      </c>
      <c r="F90">
        <v>1</v>
      </c>
      <c r="G90">
        <v>1</v>
      </c>
      <c r="H90">
        <v>1</v>
      </c>
      <c r="I90">
        <v>1</v>
      </c>
      <c r="J90">
        <v>1</v>
      </c>
      <c r="K90">
        <v>1</v>
      </c>
      <c r="L90">
        <v>1</v>
      </c>
      <c r="M90">
        <v>1</v>
      </c>
      <c r="N90">
        <v>1</v>
      </c>
      <c r="O90">
        <v>1</v>
      </c>
    </row>
    <row r="91" spans="1:16" x14ac:dyDescent="0.25">
      <c r="A91" t="s">
        <v>92</v>
      </c>
      <c r="B91" t="s">
        <v>75</v>
      </c>
      <c r="C91">
        <v>0</v>
      </c>
      <c r="D91">
        <v>11.07949328422546</v>
      </c>
      <c r="E91">
        <v>1</v>
      </c>
      <c r="F91">
        <v>1</v>
      </c>
      <c r="G91">
        <v>1</v>
      </c>
      <c r="H91">
        <v>1</v>
      </c>
      <c r="I91">
        <v>1</v>
      </c>
      <c r="J91">
        <v>1</v>
      </c>
      <c r="K91">
        <v>1</v>
      </c>
      <c r="L91">
        <v>1</v>
      </c>
      <c r="M91">
        <v>1</v>
      </c>
      <c r="N91">
        <v>1</v>
      </c>
      <c r="O91">
        <v>1</v>
      </c>
    </row>
    <row r="92" spans="1:16" x14ac:dyDescent="0.25">
      <c r="A92" t="s">
        <v>92</v>
      </c>
      <c r="B92" t="s">
        <v>77</v>
      </c>
      <c r="C92">
        <v>0</v>
      </c>
      <c r="D92">
        <v>8.0458412170410156</v>
      </c>
      <c r="E92">
        <v>1</v>
      </c>
      <c r="F92">
        <v>1</v>
      </c>
      <c r="G92">
        <v>1</v>
      </c>
      <c r="H92">
        <v>1</v>
      </c>
      <c r="I92">
        <v>1</v>
      </c>
      <c r="J92">
        <v>1</v>
      </c>
      <c r="K92">
        <v>1</v>
      </c>
      <c r="L92">
        <v>1</v>
      </c>
      <c r="M92">
        <v>1</v>
      </c>
      <c r="N92">
        <v>1</v>
      </c>
      <c r="O92">
        <v>1</v>
      </c>
    </row>
    <row r="93" spans="1:16" x14ac:dyDescent="0.25">
      <c r="A93" t="s">
        <v>92</v>
      </c>
      <c r="B93" t="s">
        <v>79</v>
      </c>
      <c r="C93">
        <v>0</v>
      </c>
      <c r="D93">
        <v>4.4445209503173828</v>
      </c>
      <c r="E93">
        <v>1</v>
      </c>
      <c r="F93">
        <v>1</v>
      </c>
      <c r="G93">
        <v>1</v>
      </c>
      <c r="H93">
        <v>1</v>
      </c>
      <c r="I93">
        <v>1</v>
      </c>
      <c r="J93">
        <v>0</v>
      </c>
      <c r="K93">
        <v>1</v>
      </c>
      <c r="L93">
        <v>1</v>
      </c>
      <c r="M93">
        <v>1</v>
      </c>
      <c r="N93">
        <v>1</v>
      </c>
      <c r="O93">
        <v>1</v>
      </c>
      <c r="P93" t="s">
        <v>217</v>
      </c>
    </row>
    <row r="94" spans="1:16" x14ac:dyDescent="0.25">
      <c r="A94" t="s">
        <v>92</v>
      </c>
      <c r="B94" t="s">
        <v>81</v>
      </c>
      <c r="C94">
        <v>0</v>
      </c>
      <c r="D94">
        <v>10.49893140792847</v>
      </c>
      <c r="E94">
        <v>1</v>
      </c>
      <c r="F94">
        <v>1</v>
      </c>
      <c r="G94">
        <v>1</v>
      </c>
      <c r="H94">
        <v>1</v>
      </c>
      <c r="I94">
        <v>1</v>
      </c>
      <c r="J94">
        <v>1</v>
      </c>
      <c r="K94">
        <v>1</v>
      </c>
      <c r="L94">
        <v>1</v>
      </c>
      <c r="M94">
        <v>1</v>
      </c>
      <c r="N94">
        <v>1</v>
      </c>
      <c r="O94">
        <v>1</v>
      </c>
    </row>
    <row r="95" spans="1:16" x14ac:dyDescent="0.25">
      <c r="A95" t="s">
        <v>92</v>
      </c>
      <c r="B95" t="s">
        <v>83</v>
      </c>
      <c r="C95">
        <v>0</v>
      </c>
      <c r="D95">
        <v>13.469226121902469</v>
      </c>
      <c r="E95">
        <v>1</v>
      </c>
      <c r="F95">
        <v>1</v>
      </c>
      <c r="G95">
        <v>1</v>
      </c>
      <c r="H95">
        <v>1</v>
      </c>
      <c r="I95">
        <v>1</v>
      </c>
      <c r="J95">
        <v>0</v>
      </c>
      <c r="K95">
        <v>1</v>
      </c>
      <c r="L95">
        <v>1</v>
      </c>
      <c r="M95">
        <v>1</v>
      </c>
      <c r="N95">
        <v>1</v>
      </c>
      <c r="O95">
        <v>1</v>
      </c>
      <c r="P95" t="s">
        <v>218</v>
      </c>
    </row>
    <row r="96" spans="1:16" x14ac:dyDescent="0.25">
      <c r="A96" t="s">
        <v>92</v>
      </c>
      <c r="B96" t="s">
        <v>85</v>
      </c>
      <c r="C96">
        <v>0</v>
      </c>
      <c r="D96">
        <v>5.6138498783111572</v>
      </c>
      <c r="E96">
        <v>1</v>
      </c>
      <c r="F96">
        <v>1</v>
      </c>
      <c r="G96">
        <v>1</v>
      </c>
      <c r="H96">
        <v>1</v>
      </c>
      <c r="I96">
        <v>1</v>
      </c>
      <c r="J96">
        <v>0</v>
      </c>
      <c r="K96">
        <v>1</v>
      </c>
      <c r="L96">
        <v>1</v>
      </c>
      <c r="M96">
        <v>1</v>
      </c>
      <c r="N96">
        <v>1</v>
      </c>
      <c r="O96">
        <v>1</v>
      </c>
      <c r="P96" t="s">
        <v>219</v>
      </c>
    </row>
    <row r="97" spans="1:16" x14ac:dyDescent="0.25">
      <c r="A97" t="s">
        <v>92</v>
      </c>
      <c r="B97" t="s">
        <v>87</v>
      </c>
      <c r="C97">
        <v>0</v>
      </c>
      <c r="D97">
        <v>11.891526460647579</v>
      </c>
      <c r="E97">
        <v>1</v>
      </c>
      <c r="F97">
        <v>1</v>
      </c>
      <c r="G97">
        <v>1</v>
      </c>
      <c r="H97">
        <v>1</v>
      </c>
      <c r="I97">
        <v>1</v>
      </c>
      <c r="J97">
        <v>0</v>
      </c>
      <c r="K97">
        <v>1</v>
      </c>
      <c r="L97">
        <v>1</v>
      </c>
      <c r="M97">
        <v>1</v>
      </c>
      <c r="N97">
        <v>1</v>
      </c>
      <c r="O97">
        <v>1</v>
      </c>
      <c r="P97" t="s">
        <v>220</v>
      </c>
    </row>
    <row r="98" spans="1:16" x14ac:dyDescent="0.25">
      <c r="A98" t="s">
        <v>92</v>
      </c>
      <c r="B98" t="s">
        <v>89</v>
      </c>
      <c r="C98">
        <v>0</v>
      </c>
      <c r="D98">
        <v>6.7512319087982178</v>
      </c>
      <c r="E98">
        <v>1</v>
      </c>
      <c r="F98">
        <v>1</v>
      </c>
      <c r="G98">
        <v>1</v>
      </c>
      <c r="H98">
        <v>1</v>
      </c>
      <c r="I98">
        <v>1</v>
      </c>
      <c r="J98">
        <v>0</v>
      </c>
      <c r="K98">
        <v>1</v>
      </c>
      <c r="L98">
        <v>1</v>
      </c>
      <c r="M98">
        <v>1</v>
      </c>
      <c r="N98">
        <v>1</v>
      </c>
      <c r="O98">
        <v>1</v>
      </c>
      <c r="P98" t="s">
        <v>221</v>
      </c>
    </row>
    <row r="99" spans="1:16" x14ac:dyDescent="0.25">
      <c r="A99" t="s">
        <v>92</v>
      </c>
      <c r="B99" t="s">
        <v>90</v>
      </c>
      <c r="C99">
        <v>0</v>
      </c>
      <c r="D99">
        <v>5.2088816165924072</v>
      </c>
      <c r="E99">
        <v>1</v>
      </c>
      <c r="F99">
        <v>1</v>
      </c>
      <c r="G99">
        <v>1</v>
      </c>
      <c r="H99">
        <v>1</v>
      </c>
      <c r="I99">
        <v>1</v>
      </c>
      <c r="J99">
        <v>0</v>
      </c>
      <c r="K99">
        <v>1</v>
      </c>
      <c r="L99">
        <v>1</v>
      </c>
      <c r="M99">
        <v>1</v>
      </c>
      <c r="N99">
        <v>1</v>
      </c>
      <c r="O99">
        <v>1</v>
      </c>
      <c r="P99" t="s">
        <v>222</v>
      </c>
    </row>
    <row r="100" spans="1:16" x14ac:dyDescent="0.25">
      <c r="A100" t="s">
        <v>92</v>
      </c>
      <c r="B100" t="s">
        <v>115</v>
      </c>
      <c r="C100">
        <v>0</v>
      </c>
      <c r="D100">
        <v>11.66291379928589</v>
      </c>
      <c r="E100">
        <v>0</v>
      </c>
      <c r="F100" t="s">
        <v>22</v>
      </c>
      <c r="G100" t="s">
        <v>22</v>
      </c>
      <c r="H100" t="s">
        <v>22</v>
      </c>
      <c r="I100" t="s">
        <v>22</v>
      </c>
      <c r="J100" t="s">
        <v>22</v>
      </c>
      <c r="K100" t="s">
        <v>22</v>
      </c>
      <c r="L100" t="s">
        <v>22</v>
      </c>
      <c r="M100" t="s">
        <v>22</v>
      </c>
      <c r="N100" t="s">
        <v>22</v>
      </c>
      <c r="O100" t="s">
        <v>22</v>
      </c>
      <c r="P100" t="s">
        <v>223</v>
      </c>
    </row>
    <row r="101" spans="1:16" x14ac:dyDescent="0.25">
      <c r="A101" t="s">
        <v>92</v>
      </c>
      <c r="B101" t="s">
        <v>117</v>
      </c>
      <c r="C101">
        <v>0</v>
      </c>
      <c r="D101">
        <v>5.1171038150787354</v>
      </c>
      <c r="E101">
        <v>1</v>
      </c>
      <c r="F101">
        <v>1</v>
      </c>
      <c r="G101">
        <v>1</v>
      </c>
      <c r="H101">
        <v>1</v>
      </c>
      <c r="I101">
        <v>1</v>
      </c>
      <c r="J101">
        <v>0</v>
      </c>
      <c r="K101">
        <v>1</v>
      </c>
      <c r="L101">
        <v>1</v>
      </c>
      <c r="M101">
        <v>1</v>
      </c>
      <c r="N101">
        <v>1</v>
      </c>
      <c r="O101">
        <v>1</v>
      </c>
      <c r="P101" t="s">
        <v>224</v>
      </c>
    </row>
    <row r="102" spans="1:16" x14ac:dyDescent="0.25">
      <c r="A102" t="s">
        <v>92</v>
      </c>
      <c r="B102" t="s">
        <v>119</v>
      </c>
      <c r="C102">
        <v>0</v>
      </c>
      <c r="D102">
        <v>4.9857678413391113</v>
      </c>
      <c r="E102">
        <v>1</v>
      </c>
      <c r="F102">
        <v>1</v>
      </c>
      <c r="G102">
        <v>1</v>
      </c>
      <c r="H102">
        <v>1</v>
      </c>
      <c r="I102">
        <v>1</v>
      </c>
      <c r="J102">
        <v>0</v>
      </c>
      <c r="K102">
        <v>1</v>
      </c>
      <c r="L102">
        <v>1</v>
      </c>
      <c r="M102">
        <v>1</v>
      </c>
      <c r="N102">
        <v>1</v>
      </c>
      <c r="O102">
        <v>1</v>
      </c>
      <c r="P102" t="s">
        <v>225</v>
      </c>
    </row>
    <row r="103" spans="1:16" x14ac:dyDescent="0.25">
      <c r="A103" t="s">
        <v>92</v>
      </c>
      <c r="B103" t="s">
        <v>121</v>
      </c>
      <c r="C103">
        <v>0</v>
      </c>
      <c r="D103">
        <v>13.317203521728519</v>
      </c>
      <c r="E103">
        <v>1</v>
      </c>
      <c r="F103">
        <v>1</v>
      </c>
      <c r="G103">
        <v>1</v>
      </c>
      <c r="H103">
        <v>1</v>
      </c>
      <c r="I103">
        <v>1</v>
      </c>
      <c r="J103">
        <v>0</v>
      </c>
      <c r="K103">
        <v>1</v>
      </c>
      <c r="L103">
        <v>1</v>
      </c>
      <c r="M103">
        <v>1</v>
      </c>
      <c r="N103">
        <v>1</v>
      </c>
      <c r="O103">
        <v>1</v>
      </c>
      <c r="P103" t="s">
        <v>226</v>
      </c>
    </row>
    <row r="104" spans="1:16" x14ac:dyDescent="0.25">
      <c r="A104" t="s">
        <v>92</v>
      </c>
      <c r="B104" t="s">
        <v>122</v>
      </c>
      <c r="C104">
        <v>0</v>
      </c>
      <c r="D104">
        <v>4.4969973564147949</v>
      </c>
      <c r="E104">
        <v>1</v>
      </c>
      <c r="F104">
        <v>1</v>
      </c>
      <c r="G104">
        <v>1</v>
      </c>
      <c r="H104">
        <v>1</v>
      </c>
      <c r="I104">
        <v>1</v>
      </c>
      <c r="J104">
        <v>0</v>
      </c>
      <c r="K104">
        <v>1</v>
      </c>
      <c r="L104">
        <v>1</v>
      </c>
      <c r="M104">
        <v>1</v>
      </c>
      <c r="N104">
        <v>1</v>
      </c>
      <c r="O104">
        <v>1</v>
      </c>
      <c r="P104" t="s">
        <v>227</v>
      </c>
    </row>
    <row r="105" spans="1:16" x14ac:dyDescent="0.25">
      <c r="A105" t="s">
        <v>92</v>
      </c>
      <c r="B105" t="s">
        <v>124</v>
      </c>
      <c r="C105">
        <v>0</v>
      </c>
      <c r="D105">
        <v>4.546231746673584</v>
      </c>
      <c r="E105">
        <v>1</v>
      </c>
      <c r="F105">
        <v>1</v>
      </c>
      <c r="G105">
        <v>1</v>
      </c>
      <c r="H105">
        <v>1</v>
      </c>
      <c r="I105">
        <v>1</v>
      </c>
      <c r="J105">
        <v>0</v>
      </c>
      <c r="K105">
        <v>1</v>
      </c>
      <c r="L105">
        <v>1</v>
      </c>
      <c r="M105">
        <v>1</v>
      </c>
      <c r="N105">
        <v>1</v>
      </c>
      <c r="O105">
        <v>1</v>
      </c>
      <c r="P105" t="s">
        <v>228</v>
      </c>
    </row>
    <row r="106" spans="1:16" x14ac:dyDescent="0.25">
      <c r="A106" t="s">
        <v>92</v>
      </c>
      <c r="B106" t="s">
        <v>126</v>
      </c>
      <c r="C106">
        <v>0</v>
      </c>
      <c r="D106">
        <v>16.016791105270389</v>
      </c>
      <c r="E106">
        <v>1</v>
      </c>
      <c r="F106">
        <v>0</v>
      </c>
      <c r="G106">
        <v>1</v>
      </c>
      <c r="H106" t="s">
        <v>22</v>
      </c>
      <c r="I106">
        <v>1</v>
      </c>
      <c r="J106" t="s">
        <v>22</v>
      </c>
      <c r="K106">
        <v>0</v>
      </c>
      <c r="L106">
        <v>0</v>
      </c>
      <c r="M106">
        <v>1</v>
      </c>
      <c r="N106">
        <v>0</v>
      </c>
      <c r="O106">
        <v>1</v>
      </c>
      <c r="P106" t="s">
        <v>229</v>
      </c>
    </row>
    <row r="107" spans="1:16" x14ac:dyDescent="0.25">
      <c r="A107" t="s">
        <v>92</v>
      </c>
      <c r="B107" t="s">
        <v>128</v>
      </c>
      <c r="C107">
        <v>0</v>
      </c>
      <c r="D107">
        <v>12.77269005775452</v>
      </c>
      <c r="E107">
        <v>1</v>
      </c>
      <c r="F107">
        <v>1</v>
      </c>
      <c r="G107">
        <v>1</v>
      </c>
      <c r="H107">
        <v>1</v>
      </c>
      <c r="I107">
        <v>1</v>
      </c>
      <c r="J107">
        <v>0</v>
      </c>
      <c r="K107">
        <v>0</v>
      </c>
      <c r="L107">
        <v>1</v>
      </c>
      <c r="M107">
        <v>1</v>
      </c>
      <c r="N107">
        <v>1</v>
      </c>
      <c r="O107">
        <v>1</v>
      </c>
      <c r="P107" t="s">
        <v>230</v>
      </c>
    </row>
    <row r="108" spans="1:16" x14ac:dyDescent="0.25">
      <c r="A108" t="s">
        <v>92</v>
      </c>
      <c r="B108" t="s">
        <v>130</v>
      </c>
      <c r="C108">
        <v>0</v>
      </c>
      <c r="D108">
        <v>9.7170491218566895</v>
      </c>
      <c r="E108">
        <v>1</v>
      </c>
      <c r="F108">
        <v>1</v>
      </c>
      <c r="G108">
        <v>1</v>
      </c>
      <c r="H108">
        <v>1</v>
      </c>
      <c r="I108">
        <v>1</v>
      </c>
      <c r="J108">
        <v>1</v>
      </c>
      <c r="K108">
        <v>1</v>
      </c>
      <c r="L108">
        <v>1</v>
      </c>
      <c r="M108">
        <v>1</v>
      </c>
      <c r="N108">
        <v>1</v>
      </c>
      <c r="O108">
        <v>1</v>
      </c>
    </row>
    <row r="109" spans="1:16" x14ac:dyDescent="0.25">
      <c r="A109" t="s">
        <v>92</v>
      </c>
      <c r="B109" t="s">
        <v>131</v>
      </c>
      <c r="C109">
        <v>0</v>
      </c>
      <c r="D109">
        <v>4.3922972679138184</v>
      </c>
      <c r="E109">
        <v>1</v>
      </c>
      <c r="F109">
        <v>1</v>
      </c>
      <c r="G109">
        <v>1</v>
      </c>
      <c r="H109">
        <v>1</v>
      </c>
      <c r="I109">
        <v>1</v>
      </c>
      <c r="J109">
        <v>0</v>
      </c>
      <c r="K109">
        <v>1</v>
      </c>
      <c r="L109">
        <v>1</v>
      </c>
      <c r="M109">
        <v>1</v>
      </c>
      <c r="N109">
        <v>1</v>
      </c>
      <c r="O109">
        <v>1</v>
      </c>
      <c r="P109" t="s">
        <v>231</v>
      </c>
    </row>
    <row r="110" spans="1:16" x14ac:dyDescent="0.25">
      <c r="A110" t="s">
        <v>92</v>
      </c>
      <c r="B110" t="s">
        <v>133</v>
      </c>
      <c r="C110">
        <v>0</v>
      </c>
      <c r="D110">
        <v>4.6225659847259521</v>
      </c>
      <c r="E110">
        <v>1</v>
      </c>
      <c r="F110">
        <v>1</v>
      </c>
      <c r="G110">
        <v>1</v>
      </c>
      <c r="H110">
        <v>1</v>
      </c>
      <c r="I110">
        <v>1</v>
      </c>
      <c r="J110">
        <v>0</v>
      </c>
      <c r="K110">
        <v>1</v>
      </c>
      <c r="L110">
        <v>1</v>
      </c>
      <c r="M110">
        <v>1</v>
      </c>
      <c r="N110">
        <v>1</v>
      </c>
      <c r="O110">
        <v>1</v>
      </c>
      <c r="P110" t="s">
        <v>232</v>
      </c>
    </row>
    <row r="111" spans="1:16" x14ac:dyDescent="0.25">
      <c r="A111" t="s">
        <v>92</v>
      </c>
      <c r="B111" t="s">
        <v>135</v>
      </c>
      <c r="C111">
        <v>0</v>
      </c>
      <c r="D111">
        <v>2.948521614074707</v>
      </c>
      <c r="E111">
        <v>1</v>
      </c>
      <c r="F111">
        <v>1</v>
      </c>
      <c r="G111">
        <v>1</v>
      </c>
      <c r="H111">
        <v>1</v>
      </c>
      <c r="I111">
        <v>1</v>
      </c>
      <c r="J111">
        <v>1</v>
      </c>
      <c r="K111">
        <v>1</v>
      </c>
      <c r="L111">
        <v>1</v>
      </c>
      <c r="M111">
        <v>1</v>
      </c>
      <c r="N111">
        <v>1</v>
      </c>
      <c r="O111">
        <v>1</v>
      </c>
    </row>
    <row r="112" spans="1:16" x14ac:dyDescent="0.25">
      <c r="A112" t="s">
        <v>92</v>
      </c>
      <c r="B112" t="s">
        <v>137</v>
      </c>
      <c r="C112">
        <v>0</v>
      </c>
      <c r="D112">
        <v>3.041409015655518</v>
      </c>
      <c r="E112">
        <v>1</v>
      </c>
      <c r="F112">
        <v>1</v>
      </c>
      <c r="G112">
        <v>1</v>
      </c>
      <c r="H112">
        <v>1</v>
      </c>
      <c r="I112">
        <v>1</v>
      </c>
      <c r="J112">
        <v>1</v>
      </c>
      <c r="K112">
        <v>1</v>
      </c>
      <c r="L112">
        <v>1</v>
      </c>
      <c r="M112">
        <v>1</v>
      </c>
      <c r="N112">
        <v>1</v>
      </c>
      <c r="O112">
        <v>1</v>
      </c>
    </row>
    <row r="113" spans="1:16" x14ac:dyDescent="0.25">
      <c r="A113" t="s">
        <v>92</v>
      </c>
      <c r="B113" t="s">
        <v>138</v>
      </c>
      <c r="C113">
        <v>0</v>
      </c>
      <c r="D113">
        <v>11.80728602409363</v>
      </c>
      <c r="E113">
        <v>1</v>
      </c>
      <c r="F113">
        <v>1</v>
      </c>
      <c r="G113">
        <v>1</v>
      </c>
      <c r="H113">
        <v>1</v>
      </c>
      <c r="I113">
        <v>1</v>
      </c>
      <c r="J113">
        <v>0</v>
      </c>
      <c r="K113">
        <v>1</v>
      </c>
      <c r="L113">
        <v>1</v>
      </c>
      <c r="M113">
        <v>1</v>
      </c>
      <c r="N113">
        <v>1</v>
      </c>
      <c r="O113">
        <v>1</v>
      </c>
      <c r="P113" t="s">
        <v>233</v>
      </c>
    </row>
    <row r="114" spans="1:16" x14ac:dyDescent="0.25">
      <c r="A114" t="s">
        <v>140</v>
      </c>
      <c r="B114" t="s">
        <v>17</v>
      </c>
      <c r="C114">
        <v>0</v>
      </c>
      <c r="D114">
        <v>2.949182271957397</v>
      </c>
      <c r="E114">
        <v>1</v>
      </c>
      <c r="F114">
        <v>1</v>
      </c>
      <c r="G114">
        <v>1</v>
      </c>
      <c r="H114">
        <v>1</v>
      </c>
      <c r="I114">
        <v>1</v>
      </c>
      <c r="J114">
        <v>1</v>
      </c>
      <c r="K114">
        <v>1</v>
      </c>
      <c r="L114">
        <v>1</v>
      </c>
      <c r="M114">
        <v>1</v>
      </c>
      <c r="N114">
        <v>1</v>
      </c>
      <c r="O114">
        <v>1</v>
      </c>
    </row>
    <row r="115" spans="1:16" x14ac:dyDescent="0.25">
      <c r="A115" t="s">
        <v>140</v>
      </c>
      <c r="B115" t="s">
        <v>19</v>
      </c>
      <c r="C115">
        <v>0</v>
      </c>
      <c r="D115">
        <v>10.31376576423645</v>
      </c>
      <c r="E115">
        <v>1</v>
      </c>
      <c r="F115">
        <v>1</v>
      </c>
      <c r="G115">
        <v>1</v>
      </c>
      <c r="H115">
        <v>1</v>
      </c>
      <c r="I115">
        <v>1</v>
      </c>
      <c r="J115">
        <v>0</v>
      </c>
      <c r="K115">
        <v>1</v>
      </c>
      <c r="L115">
        <v>1</v>
      </c>
      <c r="M115">
        <v>1</v>
      </c>
      <c r="N115">
        <v>1</v>
      </c>
      <c r="O115">
        <v>1</v>
      </c>
      <c r="P115" t="s">
        <v>234</v>
      </c>
    </row>
    <row r="116" spans="1:16" x14ac:dyDescent="0.25">
      <c r="A116" t="s">
        <v>140</v>
      </c>
      <c r="B116" t="s">
        <v>20</v>
      </c>
      <c r="C116">
        <v>0</v>
      </c>
      <c r="D116">
        <v>5.9138875007629386</v>
      </c>
      <c r="E116">
        <v>0</v>
      </c>
      <c r="F116" t="s">
        <v>22</v>
      </c>
      <c r="G116" t="s">
        <v>22</v>
      </c>
      <c r="H116" t="s">
        <v>22</v>
      </c>
      <c r="I116" t="s">
        <v>22</v>
      </c>
      <c r="J116" t="s">
        <v>22</v>
      </c>
      <c r="K116" t="s">
        <v>22</v>
      </c>
      <c r="L116" t="s">
        <v>22</v>
      </c>
      <c r="M116" t="s">
        <v>22</v>
      </c>
      <c r="N116" t="s">
        <v>22</v>
      </c>
      <c r="O116" t="s">
        <v>22</v>
      </c>
      <c r="P116" t="s">
        <v>235</v>
      </c>
    </row>
    <row r="117" spans="1:16" x14ac:dyDescent="0.25">
      <c r="A117" t="s">
        <v>140</v>
      </c>
      <c r="B117" t="s">
        <v>21</v>
      </c>
      <c r="C117">
        <v>0</v>
      </c>
      <c r="D117">
        <v>10.22957396507263</v>
      </c>
      <c r="E117">
        <v>1</v>
      </c>
      <c r="F117">
        <v>1</v>
      </c>
      <c r="G117">
        <v>1</v>
      </c>
      <c r="H117">
        <v>1</v>
      </c>
      <c r="I117">
        <v>1</v>
      </c>
      <c r="J117">
        <v>1</v>
      </c>
      <c r="K117">
        <v>1</v>
      </c>
      <c r="L117">
        <v>1</v>
      </c>
      <c r="M117">
        <v>1</v>
      </c>
      <c r="N117">
        <v>1</v>
      </c>
      <c r="O117">
        <v>1</v>
      </c>
    </row>
    <row r="118" spans="1:16" x14ac:dyDescent="0.25">
      <c r="A118" t="s">
        <v>140</v>
      </c>
      <c r="B118" t="s">
        <v>24</v>
      </c>
      <c r="C118">
        <v>0</v>
      </c>
      <c r="D118">
        <v>4.5750405788421631</v>
      </c>
      <c r="E118">
        <v>1</v>
      </c>
      <c r="F118">
        <v>1</v>
      </c>
      <c r="G118">
        <v>0</v>
      </c>
      <c r="H118" t="s">
        <v>22</v>
      </c>
      <c r="I118">
        <v>1</v>
      </c>
      <c r="J118">
        <v>1</v>
      </c>
      <c r="K118">
        <v>1</v>
      </c>
      <c r="L118">
        <v>1</v>
      </c>
      <c r="M118">
        <v>1</v>
      </c>
      <c r="N118">
        <v>1</v>
      </c>
      <c r="O118">
        <v>1</v>
      </c>
      <c r="P118" t="s">
        <v>236</v>
      </c>
    </row>
    <row r="119" spans="1:16" x14ac:dyDescent="0.25">
      <c r="A119" t="s">
        <v>140</v>
      </c>
      <c r="B119" t="s">
        <v>25</v>
      </c>
      <c r="C119">
        <v>0</v>
      </c>
      <c r="D119">
        <v>6.2460353374481201</v>
      </c>
      <c r="E119">
        <v>1</v>
      </c>
      <c r="F119">
        <v>0</v>
      </c>
      <c r="G119">
        <v>1</v>
      </c>
      <c r="H119" t="s">
        <v>22</v>
      </c>
      <c r="I119">
        <v>1</v>
      </c>
      <c r="J119" t="s">
        <v>22</v>
      </c>
      <c r="K119">
        <v>1</v>
      </c>
      <c r="L119">
        <v>1</v>
      </c>
      <c r="M119">
        <v>0</v>
      </c>
      <c r="N119">
        <v>1</v>
      </c>
      <c r="O119">
        <v>1</v>
      </c>
      <c r="P119" t="s">
        <v>237</v>
      </c>
    </row>
    <row r="120" spans="1:16" x14ac:dyDescent="0.25">
      <c r="A120" t="s">
        <v>140</v>
      </c>
      <c r="B120" t="s">
        <v>26</v>
      </c>
      <c r="C120">
        <v>0</v>
      </c>
      <c r="D120">
        <v>11.736682176589969</v>
      </c>
      <c r="E120">
        <v>1</v>
      </c>
      <c r="F120">
        <v>1</v>
      </c>
      <c r="G120">
        <v>0</v>
      </c>
      <c r="H120" t="s">
        <v>22</v>
      </c>
      <c r="I120">
        <v>1</v>
      </c>
      <c r="J120">
        <v>1</v>
      </c>
      <c r="K120">
        <v>1</v>
      </c>
      <c r="L120">
        <v>1</v>
      </c>
      <c r="M120">
        <v>1</v>
      </c>
      <c r="N120">
        <v>1</v>
      </c>
      <c r="O120">
        <v>1</v>
      </c>
      <c r="P120" t="s">
        <v>238</v>
      </c>
    </row>
    <row r="121" spans="1:16" x14ac:dyDescent="0.25">
      <c r="A121" t="s">
        <v>140</v>
      </c>
      <c r="B121" t="s">
        <v>27</v>
      </c>
      <c r="C121">
        <v>0</v>
      </c>
      <c r="D121">
        <v>3.0198879241943359</v>
      </c>
      <c r="E121">
        <v>1</v>
      </c>
      <c r="F121">
        <v>1</v>
      </c>
      <c r="G121">
        <v>1</v>
      </c>
      <c r="H121">
        <v>1</v>
      </c>
      <c r="I121">
        <v>1</v>
      </c>
      <c r="J121">
        <v>1</v>
      </c>
      <c r="K121">
        <v>1</v>
      </c>
      <c r="L121">
        <v>1</v>
      </c>
      <c r="M121">
        <v>1</v>
      </c>
      <c r="N121">
        <v>1</v>
      </c>
      <c r="O121">
        <v>1</v>
      </c>
    </row>
    <row r="122" spans="1:16" x14ac:dyDescent="0.25">
      <c r="A122" t="s">
        <v>140</v>
      </c>
      <c r="B122" t="s">
        <v>28</v>
      </c>
      <c r="C122">
        <v>0</v>
      </c>
      <c r="D122">
        <v>11.62111020088196</v>
      </c>
      <c r="E122">
        <v>1</v>
      </c>
      <c r="F122">
        <v>1</v>
      </c>
      <c r="G122">
        <v>1</v>
      </c>
      <c r="H122">
        <v>0</v>
      </c>
      <c r="I122">
        <v>1</v>
      </c>
      <c r="J122">
        <v>1</v>
      </c>
      <c r="K122">
        <v>1</v>
      </c>
      <c r="L122">
        <v>1</v>
      </c>
      <c r="M122">
        <v>1</v>
      </c>
      <c r="N122">
        <v>1</v>
      </c>
      <c r="O122">
        <v>1</v>
      </c>
      <c r="P122" t="s">
        <v>239</v>
      </c>
    </row>
    <row r="123" spans="1:16" x14ac:dyDescent="0.25">
      <c r="A123" t="s">
        <v>140</v>
      </c>
      <c r="B123" t="s">
        <v>29</v>
      </c>
      <c r="C123">
        <v>0</v>
      </c>
      <c r="D123">
        <v>10.14093947410583</v>
      </c>
      <c r="E123">
        <v>1</v>
      </c>
      <c r="F123">
        <v>1</v>
      </c>
      <c r="G123">
        <v>1</v>
      </c>
      <c r="H123">
        <v>1</v>
      </c>
      <c r="I123">
        <v>1</v>
      </c>
      <c r="J123">
        <v>1</v>
      </c>
      <c r="K123">
        <v>1</v>
      </c>
      <c r="L123">
        <v>1</v>
      </c>
      <c r="M123">
        <v>1</v>
      </c>
      <c r="N123">
        <v>1</v>
      </c>
      <c r="O123">
        <v>1</v>
      </c>
    </row>
    <row r="124" spans="1:16" x14ac:dyDescent="0.25">
      <c r="A124" t="s">
        <v>140</v>
      </c>
      <c r="B124" t="s">
        <v>30</v>
      </c>
      <c r="C124">
        <v>0</v>
      </c>
      <c r="D124">
        <v>9.9980967044830322</v>
      </c>
      <c r="E124">
        <v>1</v>
      </c>
      <c r="F124">
        <v>1</v>
      </c>
      <c r="G124">
        <v>1</v>
      </c>
      <c r="H124">
        <v>1</v>
      </c>
      <c r="I124">
        <v>1</v>
      </c>
      <c r="J124">
        <v>0</v>
      </c>
      <c r="K124">
        <v>1</v>
      </c>
      <c r="L124">
        <v>1</v>
      </c>
      <c r="M124">
        <v>1</v>
      </c>
      <c r="N124">
        <v>1</v>
      </c>
      <c r="O124">
        <v>1</v>
      </c>
      <c r="P124" t="s">
        <v>240</v>
      </c>
    </row>
    <row r="125" spans="1:16" x14ac:dyDescent="0.25">
      <c r="A125" t="s">
        <v>140</v>
      </c>
      <c r="B125" t="s">
        <v>32</v>
      </c>
      <c r="C125">
        <v>0</v>
      </c>
      <c r="D125">
        <v>11.481063365936279</v>
      </c>
      <c r="E125">
        <v>1</v>
      </c>
      <c r="F125">
        <v>1</v>
      </c>
      <c r="G125">
        <v>1</v>
      </c>
      <c r="H125">
        <v>1</v>
      </c>
      <c r="I125">
        <v>1</v>
      </c>
      <c r="J125">
        <v>1</v>
      </c>
      <c r="K125">
        <v>1</v>
      </c>
      <c r="L125">
        <v>0</v>
      </c>
      <c r="M125">
        <v>1</v>
      </c>
      <c r="N125">
        <v>1</v>
      </c>
      <c r="O125">
        <v>1</v>
      </c>
      <c r="P125" t="s">
        <v>241</v>
      </c>
    </row>
    <row r="126" spans="1:16" x14ac:dyDescent="0.25">
      <c r="A126" t="s">
        <v>140</v>
      </c>
      <c r="B126" t="s">
        <v>33</v>
      </c>
      <c r="C126">
        <v>0</v>
      </c>
      <c r="D126">
        <v>6.5451345443725586</v>
      </c>
      <c r="E126">
        <v>1</v>
      </c>
      <c r="F126">
        <v>1</v>
      </c>
      <c r="G126">
        <v>1</v>
      </c>
      <c r="H126">
        <v>1</v>
      </c>
      <c r="I126">
        <v>1</v>
      </c>
      <c r="J126">
        <v>1</v>
      </c>
      <c r="K126">
        <v>1</v>
      </c>
      <c r="L126">
        <v>1</v>
      </c>
      <c r="M126">
        <v>1</v>
      </c>
      <c r="N126">
        <v>1</v>
      </c>
      <c r="O126">
        <v>1</v>
      </c>
    </row>
    <row r="127" spans="1:16" x14ac:dyDescent="0.25">
      <c r="A127" t="s">
        <v>140</v>
      </c>
      <c r="B127" t="s">
        <v>35</v>
      </c>
      <c r="C127">
        <v>0</v>
      </c>
      <c r="D127">
        <v>10.069087982177731</v>
      </c>
      <c r="E127">
        <v>1</v>
      </c>
      <c r="F127">
        <v>1</v>
      </c>
      <c r="G127">
        <v>1</v>
      </c>
      <c r="H127">
        <v>1</v>
      </c>
      <c r="I127">
        <v>1</v>
      </c>
      <c r="J127">
        <v>1</v>
      </c>
      <c r="K127">
        <v>1</v>
      </c>
      <c r="L127">
        <v>1</v>
      </c>
      <c r="M127">
        <v>1</v>
      </c>
      <c r="N127">
        <v>1</v>
      </c>
      <c r="O127">
        <v>1</v>
      </c>
    </row>
    <row r="128" spans="1:16" x14ac:dyDescent="0.25">
      <c r="A128" t="s">
        <v>140</v>
      </c>
      <c r="B128" t="s">
        <v>36</v>
      </c>
      <c r="C128">
        <v>0</v>
      </c>
      <c r="D128">
        <v>10.11919236183167</v>
      </c>
      <c r="E128">
        <v>1</v>
      </c>
      <c r="F128">
        <v>1</v>
      </c>
      <c r="G128">
        <v>1</v>
      </c>
      <c r="H128">
        <v>1</v>
      </c>
      <c r="I128">
        <v>1</v>
      </c>
      <c r="J128">
        <v>1</v>
      </c>
      <c r="K128">
        <v>1</v>
      </c>
      <c r="L128">
        <v>1</v>
      </c>
      <c r="M128">
        <v>1</v>
      </c>
      <c r="N128">
        <v>1</v>
      </c>
      <c r="O128">
        <v>1</v>
      </c>
    </row>
    <row r="129" spans="1:16" x14ac:dyDescent="0.25">
      <c r="A129" t="s">
        <v>140</v>
      </c>
      <c r="B129" t="s">
        <v>38</v>
      </c>
      <c r="C129">
        <v>0</v>
      </c>
      <c r="D129">
        <v>3.115365743637085</v>
      </c>
      <c r="E129">
        <v>1</v>
      </c>
      <c r="F129">
        <v>1</v>
      </c>
      <c r="G129">
        <v>1</v>
      </c>
      <c r="H129">
        <v>1</v>
      </c>
      <c r="I129">
        <v>1</v>
      </c>
      <c r="J129">
        <v>1</v>
      </c>
      <c r="K129">
        <v>1</v>
      </c>
      <c r="L129">
        <v>1</v>
      </c>
      <c r="M129">
        <v>1</v>
      </c>
      <c r="N129">
        <v>1</v>
      </c>
      <c r="O129">
        <v>1</v>
      </c>
    </row>
    <row r="130" spans="1:16" x14ac:dyDescent="0.25">
      <c r="A130" t="s">
        <v>140</v>
      </c>
      <c r="B130" t="s">
        <v>39</v>
      </c>
      <c r="C130">
        <v>0</v>
      </c>
      <c r="D130">
        <v>9.6067831516265869</v>
      </c>
      <c r="E130">
        <v>1</v>
      </c>
      <c r="F130">
        <v>1</v>
      </c>
      <c r="G130">
        <v>1</v>
      </c>
      <c r="H130">
        <v>1</v>
      </c>
      <c r="I130">
        <v>1</v>
      </c>
      <c r="J130">
        <v>1</v>
      </c>
      <c r="K130">
        <v>1</v>
      </c>
      <c r="L130">
        <v>1</v>
      </c>
      <c r="M130">
        <v>1</v>
      </c>
      <c r="N130">
        <v>1</v>
      </c>
      <c r="O130">
        <v>1</v>
      </c>
    </row>
    <row r="131" spans="1:16" x14ac:dyDescent="0.25">
      <c r="A131" t="s">
        <v>140</v>
      </c>
      <c r="B131" t="s">
        <v>40</v>
      </c>
      <c r="C131">
        <v>0</v>
      </c>
      <c r="D131">
        <v>12.574130058288571</v>
      </c>
      <c r="E131">
        <v>1</v>
      </c>
      <c r="F131">
        <v>1</v>
      </c>
      <c r="G131">
        <v>1</v>
      </c>
      <c r="H131">
        <v>1</v>
      </c>
      <c r="I131">
        <v>1</v>
      </c>
      <c r="J131">
        <v>1</v>
      </c>
      <c r="K131">
        <v>1</v>
      </c>
      <c r="L131">
        <v>0</v>
      </c>
      <c r="M131">
        <v>1</v>
      </c>
      <c r="N131">
        <v>1</v>
      </c>
      <c r="O131">
        <v>1</v>
      </c>
      <c r="P131" t="s">
        <v>242</v>
      </c>
    </row>
    <row r="132" spans="1:16" x14ac:dyDescent="0.25">
      <c r="A132" t="s">
        <v>140</v>
      </c>
      <c r="B132" t="s">
        <v>41</v>
      </c>
      <c r="C132">
        <v>0</v>
      </c>
      <c r="D132">
        <v>11.047771215438839</v>
      </c>
      <c r="E132">
        <v>1</v>
      </c>
      <c r="F132">
        <v>1</v>
      </c>
      <c r="G132">
        <v>0</v>
      </c>
      <c r="H132" t="s">
        <v>22</v>
      </c>
      <c r="I132">
        <v>1</v>
      </c>
      <c r="J132">
        <v>1</v>
      </c>
      <c r="K132">
        <v>1</v>
      </c>
      <c r="L132">
        <v>1</v>
      </c>
      <c r="M132">
        <v>1</v>
      </c>
      <c r="N132">
        <v>1</v>
      </c>
      <c r="O132">
        <v>1</v>
      </c>
      <c r="P132" t="s">
        <v>243</v>
      </c>
    </row>
    <row r="133" spans="1:16" x14ac:dyDescent="0.25">
      <c r="A133" t="s">
        <v>140</v>
      </c>
      <c r="B133" t="s">
        <v>43</v>
      </c>
      <c r="C133">
        <v>0</v>
      </c>
      <c r="D133">
        <v>11.255247116088871</v>
      </c>
      <c r="E133">
        <v>1</v>
      </c>
      <c r="F133">
        <v>1</v>
      </c>
      <c r="G133">
        <v>1</v>
      </c>
      <c r="H133">
        <v>1</v>
      </c>
      <c r="I133">
        <v>1</v>
      </c>
      <c r="J133">
        <v>1</v>
      </c>
      <c r="K133">
        <v>1</v>
      </c>
      <c r="L133">
        <v>1</v>
      </c>
      <c r="M133">
        <v>1</v>
      </c>
      <c r="N133">
        <v>1</v>
      </c>
      <c r="O133">
        <v>1</v>
      </c>
    </row>
    <row r="134" spans="1:16" x14ac:dyDescent="0.25">
      <c r="A134" t="s">
        <v>140</v>
      </c>
      <c r="B134" t="s">
        <v>44</v>
      </c>
      <c r="C134">
        <v>0</v>
      </c>
      <c r="D134">
        <v>5.709057092666626</v>
      </c>
      <c r="E134">
        <v>0</v>
      </c>
      <c r="F134" t="s">
        <v>22</v>
      </c>
      <c r="G134" t="s">
        <v>22</v>
      </c>
      <c r="H134" t="s">
        <v>22</v>
      </c>
      <c r="I134" t="s">
        <v>22</v>
      </c>
      <c r="J134" t="s">
        <v>22</v>
      </c>
      <c r="K134" t="s">
        <v>22</v>
      </c>
      <c r="L134" t="s">
        <v>22</v>
      </c>
      <c r="M134" t="s">
        <v>22</v>
      </c>
      <c r="N134" t="s">
        <v>22</v>
      </c>
      <c r="O134" t="s">
        <v>22</v>
      </c>
      <c r="P134" t="s">
        <v>244</v>
      </c>
    </row>
    <row r="135" spans="1:16" x14ac:dyDescent="0.25">
      <c r="A135" t="s">
        <v>140</v>
      </c>
      <c r="B135" t="s">
        <v>45</v>
      </c>
      <c r="C135">
        <v>0</v>
      </c>
      <c r="D135">
        <v>12.69629645347595</v>
      </c>
      <c r="E135">
        <v>1</v>
      </c>
      <c r="F135">
        <v>1</v>
      </c>
      <c r="G135">
        <v>1</v>
      </c>
      <c r="H135">
        <v>1</v>
      </c>
      <c r="I135">
        <v>1</v>
      </c>
      <c r="J135">
        <v>1</v>
      </c>
      <c r="K135">
        <v>0</v>
      </c>
      <c r="L135">
        <v>1</v>
      </c>
      <c r="M135">
        <v>1</v>
      </c>
      <c r="N135">
        <v>1</v>
      </c>
      <c r="O135">
        <v>1</v>
      </c>
      <c r="P135" t="s">
        <v>245</v>
      </c>
    </row>
    <row r="136" spans="1:16" x14ac:dyDescent="0.25">
      <c r="A136" t="s">
        <v>140</v>
      </c>
      <c r="B136" t="s">
        <v>46</v>
      </c>
      <c r="C136">
        <v>0</v>
      </c>
      <c r="D136">
        <v>2.9249947071075439</v>
      </c>
      <c r="E136">
        <v>1</v>
      </c>
      <c r="F136">
        <v>1</v>
      </c>
      <c r="G136">
        <v>1</v>
      </c>
      <c r="H136">
        <v>1</v>
      </c>
      <c r="I136">
        <v>1</v>
      </c>
      <c r="J136">
        <v>1</v>
      </c>
      <c r="K136">
        <v>1</v>
      </c>
      <c r="L136">
        <v>1</v>
      </c>
      <c r="M136">
        <v>1</v>
      </c>
      <c r="N136">
        <v>1</v>
      </c>
      <c r="O136">
        <v>1</v>
      </c>
    </row>
    <row r="137" spans="1:16" x14ac:dyDescent="0.25">
      <c r="A137" t="s">
        <v>140</v>
      </c>
      <c r="B137" t="s">
        <v>47</v>
      </c>
      <c r="C137">
        <v>0</v>
      </c>
      <c r="D137">
        <v>6.9677534103393546</v>
      </c>
      <c r="E137">
        <v>0</v>
      </c>
      <c r="F137" t="s">
        <v>22</v>
      </c>
      <c r="G137" t="s">
        <v>22</v>
      </c>
      <c r="H137" t="s">
        <v>22</v>
      </c>
      <c r="I137" t="s">
        <v>22</v>
      </c>
      <c r="J137" t="s">
        <v>22</v>
      </c>
      <c r="K137" t="s">
        <v>22</v>
      </c>
      <c r="L137" t="s">
        <v>22</v>
      </c>
      <c r="M137" t="s">
        <v>22</v>
      </c>
      <c r="N137" t="s">
        <v>22</v>
      </c>
      <c r="O137" t="s">
        <v>22</v>
      </c>
      <c r="P137" t="s">
        <v>246</v>
      </c>
    </row>
    <row r="138" spans="1:16" x14ac:dyDescent="0.25">
      <c r="A138" t="s">
        <v>140</v>
      </c>
      <c r="B138" t="s">
        <v>48</v>
      </c>
      <c r="C138">
        <v>0</v>
      </c>
      <c r="D138">
        <v>6.9133481979370117</v>
      </c>
      <c r="E138">
        <v>1</v>
      </c>
      <c r="F138">
        <v>0</v>
      </c>
      <c r="G138">
        <v>1</v>
      </c>
      <c r="H138" t="s">
        <v>22</v>
      </c>
      <c r="I138">
        <v>1</v>
      </c>
      <c r="J138" t="s">
        <v>22</v>
      </c>
      <c r="K138">
        <v>1</v>
      </c>
      <c r="L138">
        <v>1</v>
      </c>
      <c r="M138">
        <v>1</v>
      </c>
      <c r="N138">
        <v>1</v>
      </c>
      <c r="O138">
        <v>1</v>
      </c>
      <c r="P138" t="s">
        <v>247</v>
      </c>
    </row>
    <row r="139" spans="1:16" x14ac:dyDescent="0.25">
      <c r="A139" t="s">
        <v>140</v>
      </c>
      <c r="B139" t="s">
        <v>49</v>
      </c>
      <c r="C139">
        <v>0</v>
      </c>
      <c r="D139">
        <v>8.4149224758148193</v>
      </c>
      <c r="E139">
        <v>0</v>
      </c>
      <c r="F139" t="s">
        <v>22</v>
      </c>
      <c r="G139" t="s">
        <v>22</v>
      </c>
      <c r="H139" t="s">
        <v>22</v>
      </c>
      <c r="I139" t="s">
        <v>22</v>
      </c>
      <c r="J139" t="s">
        <v>22</v>
      </c>
      <c r="K139" t="s">
        <v>22</v>
      </c>
      <c r="L139" t="s">
        <v>22</v>
      </c>
      <c r="M139" t="s">
        <v>22</v>
      </c>
      <c r="N139" t="s">
        <v>22</v>
      </c>
      <c r="O139" t="s">
        <v>22</v>
      </c>
      <c r="P139" t="s">
        <v>248</v>
      </c>
    </row>
    <row r="140" spans="1:16" x14ac:dyDescent="0.25">
      <c r="A140" t="s">
        <v>140</v>
      </c>
      <c r="B140" t="s">
        <v>51</v>
      </c>
      <c r="C140">
        <v>0</v>
      </c>
      <c r="D140">
        <v>9.9267563819885254</v>
      </c>
      <c r="E140">
        <v>1</v>
      </c>
      <c r="F140">
        <v>0</v>
      </c>
      <c r="G140">
        <v>1</v>
      </c>
      <c r="H140" t="s">
        <v>22</v>
      </c>
      <c r="I140">
        <v>1</v>
      </c>
      <c r="J140" t="s">
        <v>22</v>
      </c>
      <c r="K140">
        <v>1</v>
      </c>
      <c r="L140">
        <v>1</v>
      </c>
      <c r="M140">
        <v>1</v>
      </c>
      <c r="N140">
        <v>1</v>
      </c>
      <c r="O140">
        <v>1</v>
      </c>
      <c r="P140" t="s">
        <v>249</v>
      </c>
    </row>
    <row r="141" spans="1:16" x14ac:dyDescent="0.25">
      <c r="A141" t="s">
        <v>140</v>
      </c>
      <c r="B141" t="s">
        <v>53</v>
      </c>
      <c r="C141">
        <v>0</v>
      </c>
      <c r="D141">
        <v>10.841186285018919</v>
      </c>
      <c r="E141">
        <v>1</v>
      </c>
      <c r="F141">
        <v>1</v>
      </c>
      <c r="G141">
        <v>1</v>
      </c>
      <c r="H141">
        <v>1</v>
      </c>
      <c r="I141">
        <v>1</v>
      </c>
      <c r="J141">
        <v>1</v>
      </c>
      <c r="K141">
        <v>1</v>
      </c>
      <c r="L141">
        <v>1</v>
      </c>
      <c r="M141">
        <v>1</v>
      </c>
      <c r="N141">
        <v>1</v>
      </c>
      <c r="O141">
        <v>1</v>
      </c>
    </row>
    <row r="142" spans="1:16" x14ac:dyDescent="0.25">
      <c r="A142" t="s">
        <v>140</v>
      </c>
      <c r="B142" t="s">
        <v>54</v>
      </c>
      <c r="C142">
        <v>0</v>
      </c>
      <c r="D142">
        <v>7.0432038307189941</v>
      </c>
      <c r="E142">
        <v>1</v>
      </c>
      <c r="F142">
        <v>1</v>
      </c>
      <c r="G142">
        <v>1</v>
      </c>
      <c r="H142">
        <v>1</v>
      </c>
      <c r="I142">
        <v>1</v>
      </c>
      <c r="J142">
        <v>1</v>
      </c>
      <c r="K142">
        <v>1</v>
      </c>
      <c r="L142">
        <v>1</v>
      </c>
      <c r="M142">
        <v>1</v>
      </c>
      <c r="N142">
        <v>1</v>
      </c>
      <c r="O142">
        <v>1</v>
      </c>
    </row>
    <row r="143" spans="1:16" x14ac:dyDescent="0.25">
      <c r="A143" t="s">
        <v>140</v>
      </c>
      <c r="B143" t="s">
        <v>56</v>
      </c>
      <c r="C143">
        <v>0</v>
      </c>
      <c r="D143">
        <v>5.3212871551513672</v>
      </c>
      <c r="E143">
        <v>1</v>
      </c>
      <c r="F143">
        <v>1</v>
      </c>
      <c r="G143">
        <v>0</v>
      </c>
      <c r="H143" t="s">
        <v>22</v>
      </c>
      <c r="I143">
        <v>1</v>
      </c>
      <c r="J143">
        <v>1</v>
      </c>
      <c r="K143">
        <v>1</v>
      </c>
      <c r="L143">
        <v>1</v>
      </c>
      <c r="M143">
        <v>1</v>
      </c>
      <c r="N143">
        <v>1</v>
      </c>
      <c r="O143">
        <v>1</v>
      </c>
      <c r="P143" t="s">
        <v>250</v>
      </c>
    </row>
    <row r="144" spans="1:16" x14ac:dyDescent="0.25">
      <c r="A144" t="s">
        <v>140</v>
      </c>
      <c r="B144" t="s">
        <v>58</v>
      </c>
      <c r="C144">
        <v>0</v>
      </c>
      <c r="D144">
        <v>2.9348917007446289</v>
      </c>
      <c r="E144">
        <v>1</v>
      </c>
      <c r="F144">
        <v>1</v>
      </c>
      <c r="G144">
        <v>1</v>
      </c>
      <c r="H144">
        <v>1</v>
      </c>
      <c r="I144">
        <v>1</v>
      </c>
      <c r="J144">
        <v>1</v>
      </c>
      <c r="K144">
        <v>1</v>
      </c>
      <c r="L144">
        <v>1</v>
      </c>
      <c r="M144">
        <v>1</v>
      </c>
      <c r="N144">
        <v>1</v>
      </c>
      <c r="O144">
        <v>1</v>
      </c>
    </row>
    <row r="145" spans="1:16" x14ac:dyDescent="0.25">
      <c r="A145" t="s">
        <v>140</v>
      </c>
      <c r="B145" t="s">
        <v>60</v>
      </c>
      <c r="C145">
        <v>0</v>
      </c>
      <c r="D145">
        <v>10.303734064102169</v>
      </c>
      <c r="E145">
        <v>1</v>
      </c>
      <c r="F145">
        <v>1</v>
      </c>
      <c r="G145">
        <v>1</v>
      </c>
      <c r="H145">
        <v>1</v>
      </c>
      <c r="I145">
        <v>1</v>
      </c>
      <c r="J145">
        <v>1</v>
      </c>
      <c r="K145">
        <v>1</v>
      </c>
      <c r="L145">
        <v>1</v>
      </c>
      <c r="M145">
        <v>1</v>
      </c>
      <c r="N145">
        <v>1</v>
      </c>
      <c r="O145">
        <v>1</v>
      </c>
    </row>
    <row r="146" spans="1:16" x14ac:dyDescent="0.25">
      <c r="A146" t="s">
        <v>140</v>
      </c>
      <c r="B146" t="s">
        <v>62</v>
      </c>
      <c r="C146">
        <v>0</v>
      </c>
      <c r="D146">
        <v>8.5162811279296875</v>
      </c>
      <c r="E146">
        <v>1</v>
      </c>
      <c r="F146">
        <v>1</v>
      </c>
      <c r="G146">
        <v>1</v>
      </c>
      <c r="H146">
        <v>1</v>
      </c>
      <c r="I146">
        <v>1</v>
      </c>
      <c r="J146">
        <v>1</v>
      </c>
      <c r="K146">
        <v>1</v>
      </c>
      <c r="L146">
        <v>1</v>
      </c>
      <c r="M146">
        <v>1</v>
      </c>
      <c r="N146">
        <v>1</v>
      </c>
      <c r="O146">
        <v>1</v>
      </c>
    </row>
    <row r="147" spans="1:16" x14ac:dyDescent="0.25">
      <c r="A147" t="s">
        <v>140</v>
      </c>
      <c r="B147" t="s">
        <v>64</v>
      </c>
      <c r="C147">
        <v>0</v>
      </c>
      <c r="D147">
        <v>8.7714371681213379</v>
      </c>
      <c r="E147">
        <v>1</v>
      </c>
      <c r="F147">
        <v>0</v>
      </c>
      <c r="G147">
        <v>1</v>
      </c>
      <c r="H147" t="s">
        <v>22</v>
      </c>
      <c r="I147">
        <v>1</v>
      </c>
      <c r="J147" t="s">
        <v>22</v>
      </c>
      <c r="K147">
        <v>1</v>
      </c>
      <c r="L147">
        <v>1</v>
      </c>
      <c r="M147">
        <v>1</v>
      </c>
      <c r="N147">
        <v>1</v>
      </c>
      <c r="O147">
        <v>1</v>
      </c>
      <c r="P147" t="s">
        <v>251</v>
      </c>
    </row>
    <row r="148" spans="1:16" x14ac:dyDescent="0.25">
      <c r="A148" t="s">
        <v>140</v>
      </c>
      <c r="B148" t="s">
        <v>66</v>
      </c>
      <c r="C148">
        <v>0</v>
      </c>
      <c r="D148">
        <v>10.35579037666321</v>
      </c>
      <c r="E148">
        <v>1</v>
      </c>
      <c r="F148">
        <v>1</v>
      </c>
      <c r="G148">
        <v>1</v>
      </c>
      <c r="H148">
        <v>1</v>
      </c>
      <c r="I148">
        <v>1</v>
      </c>
      <c r="J148">
        <v>1</v>
      </c>
      <c r="K148">
        <v>1</v>
      </c>
      <c r="L148">
        <v>1</v>
      </c>
      <c r="M148">
        <v>1</v>
      </c>
      <c r="N148">
        <v>1</v>
      </c>
      <c r="O148">
        <v>1</v>
      </c>
    </row>
    <row r="149" spans="1:16" x14ac:dyDescent="0.25">
      <c r="A149" t="s">
        <v>140</v>
      </c>
      <c r="B149" t="s">
        <v>67</v>
      </c>
      <c r="C149">
        <v>0</v>
      </c>
      <c r="D149">
        <v>13.498472929000849</v>
      </c>
      <c r="E149">
        <v>1</v>
      </c>
      <c r="F149">
        <v>1</v>
      </c>
      <c r="G149">
        <v>1</v>
      </c>
      <c r="H149">
        <v>1</v>
      </c>
      <c r="I149">
        <v>1</v>
      </c>
      <c r="J149">
        <v>1</v>
      </c>
      <c r="K149">
        <v>1</v>
      </c>
      <c r="L149">
        <v>1</v>
      </c>
      <c r="M149">
        <v>1</v>
      </c>
      <c r="N149">
        <v>1</v>
      </c>
      <c r="O149">
        <v>1</v>
      </c>
    </row>
    <row r="150" spans="1:16" x14ac:dyDescent="0.25">
      <c r="A150" t="s">
        <v>140</v>
      </c>
      <c r="B150" t="s">
        <v>69</v>
      </c>
      <c r="C150">
        <v>0</v>
      </c>
      <c r="D150">
        <v>3.139173269271851</v>
      </c>
      <c r="E150">
        <v>1</v>
      </c>
      <c r="F150">
        <v>1</v>
      </c>
      <c r="G150">
        <v>1</v>
      </c>
      <c r="H150">
        <v>1</v>
      </c>
      <c r="I150">
        <v>1</v>
      </c>
      <c r="J150">
        <v>1</v>
      </c>
      <c r="K150">
        <v>1</v>
      </c>
      <c r="L150">
        <v>1</v>
      </c>
      <c r="M150">
        <v>1</v>
      </c>
      <c r="N150">
        <v>1</v>
      </c>
      <c r="O150">
        <v>1</v>
      </c>
    </row>
    <row r="151" spans="1:16" x14ac:dyDescent="0.25">
      <c r="A151" t="s">
        <v>140</v>
      </c>
      <c r="B151" t="s">
        <v>70</v>
      </c>
      <c r="C151">
        <v>0</v>
      </c>
      <c r="D151">
        <v>13.20330715179443</v>
      </c>
      <c r="E151">
        <v>0</v>
      </c>
      <c r="F151" t="s">
        <v>22</v>
      </c>
      <c r="G151" t="s">
        <v>22</v>
      </c>
      <c r="H151" t="s">
        <v>22</v>
      </c>
      <c r="I151" t="s">
        <v>22</v>
      </c>
      <c r="J151" t="s">
        <v>22</v>
      </c>
      <c r="K151" t="s">
        <v>22</v>
      </c>
      <c r="L151" t="s">
        <v>22</v>
      </c>
      <c r="M151" t="s">
        <v>22</v>
      </c>
      <c r="N151" t="s">
        <v>22</v>
      </c>
      <c r="O151" t="s">
        <v>22</v>
      </c>
      <c r="P151" t="s">
        <v>252</v>
      </c>
    </row>
    <row r="152" spans="1:16" x14ac:dyDescent="0.25">
      <c r="A152" t="s">
        <v>140</v>
      </c>
      <c r="B152" t="s">
        <v>71</v>
      </c>
      <c r="C152">
        <v>0</v>
      </c>
      <c r="D152">
        <v>9.817270040512085</v>
      </c>
      <c r="E152">
        <v>1</v>
      </c>
      <c r="F152">
        <v>1</v>
      </c>
      <c r="G152">
        <v>1</v>
      </c>
      <c r="H152">
        <v>1</v>
      </c>
      <c r="I152">
        <v>1</v>
      </c>
      <c r="J152">
        <v>1</v>
      </c>
      <c r="K152">
        <v>1</v>
      </c>
      <c r="L152">
        <v>1</v>
      </c>
      <c r="M152">
        <v>1</v>
      </c>
      <c r="N152">
        <v>1</v>
      </c>
      <c r="O152">
        <v>1</v>
      </c>
    </row>
    <row r="153" spans="1:16" x14ac:dyDescent="0.25">
      <c r="A153" t="s">
        <v>140</v>
      </c>
      <c r="B153" t="s">
        <v>73</v>
      </c>
      <c r="C153">
        <v>0</v>
      </c>
      <c r="D153">
        <v>10.2101104259491</v>
      </c>
      <c r="E153">
        <v>1</v>
      </c>
      <c r="F153">
        <v>1</v>
      </c>
      <c r="G153">
        <v>1</v>
      </c>
      <c r="H153">
        <v>1</v>
      </c>
      <c r="I153">
        <v>1</v>
      </c>
      <c r="J153">
        <v>1</v>
      </c>
      <c r="K153">
        <v>1</v>
      </c>
      <c r="L153">
        <v>1</v>
      </c>
      <c r="M153">
        <v>1</v>
      </c>
      <c r="N153">
        <v>1</v>
      </c>
      <c r="O153">
        <v>1</v>
      </c>
    </row>
    <row r="154" spans="1:16" x14ac:dyDescent="0.25">
      <c r="A154" t="s">
        <v>140</v>
      </c>
      <c r="B154" t="s">
        <v>75</v>
      </c>
      <c r="C154">
        <v>0</v>
      </c>
      <c r="D154">
        <v>2.960685253143311</v>
      </c>
      <c r="E154">
        <v>1</v>
      </c>
      <c r="F154">
        <v>1</v>
      </c>
      <c r="G154">
        <v>1</v>
      </c>
      <c r="H154">
        <v>1</v>
      </c>
      <c r="I154">
        <v>1</v>
      </c>
      <c r="J154">
        <v>1</v>
      </c>
      <c r="K154">
        <v>1</v>
      </c>
      <c r="L154">
        <v>1</v>
      </c>
      <c r="M154">
        <v>1</v>
      </c>
      <c r="N154">
        <v>1</v>
      </c>
      <c r="O154">
        <v>1</v>
      </c>
    </row>
    <row r="155" spans="1:16" x14ac:dyDescent="0.25">
      <c r="A155" t="s">
        <v>140</v>
      </c>
      <c r="B155" t="s">
        <v>77</v>
      </c>
      <c r="C155">
        <v>0</v>
      </c>
      <c r="D155">
        <v>10.218503952026371</v>
      </c>
      <c r="E155">
        <v>1</v>
      </c>
      <c r="F155">
        <v>1</v>
      </c>
      <c r="G155">
        <v>1</v>
      </c>
      <c r="H155">
        <v>1</v>
      </c>
      <c r="I155">
        <v>1</v>
      </c>
      <c r="J155">
        <v>1</v>
      </c>
      <c r="K155">
        <v>1</v>
      </c>
      <c r="L155">
        <v>1</v>
      </c>
      <c r="M155">
        <v>1</v>
      </c>
      <c r="N155">
        <v>1</v>
      </c>
      <c r="O155">
        <v>1</v>
      </c>
    </row>
    <row r="156" spans="1:16" x14ac:dyDescent="0.25">
      <c r="A156" t="s">
        <v>140</v>
      </c>
      <c r="B156" t="s">
        <v>79</v>
      </c>
      <c r="C156">
        <v>0</v>
      </c>
      <c r="D156">
        <v>10.273877859115601</v>
      </c>
      <c r="E156">
        <v>0</v>
      </c>
      <c r="F156" t="s">
        <v>22</v>
      </c>
      <c r="G156" t="s">
        <v>22</v>
      </c>
      <c r="H156" t="s">
        <v>22</v>
      </c>
      <c r="I156" t="s">
        <v>22</v>
      </c>
      <c r="J156" t="s">
        <v>22</v>
      </c>
      <c r="K156" t="s">
        <v>22</v>
      </c>
      <c r="L156" t="s">
        <v>22</v>
      </c>
      <c r="M156" t="s">
        <v>22</v>
      </c>
      <c r="N156" t="s">
        <v>22</v>
      </c>
      <c r="O156" t="s">
        <v>22</v>
      </c>
      <c r="P156" t="s">
        <v>253</v>
      </c>
    </row>
    <row r="157" spans="1:16" x14ac:dyDescent="0.25">
      <c r="A157" t="s">
        <v>140</v>
      </c>
      <c r="B157" t="s">
        <v>81</v>
      </c>
      <c r="C157">
        <v>0</v>
      </c>
      <c r="D157">
        <v>13.34024930000305</v>
      </c>
      <c r="E157">
        <v>1</v>
      </c>
      <c r="F157">
        <v>1</v>
      </c>
      <c r="G157">
        <v>1</v>
      </c>
      <c r="H157">
        <v>1</v>
      </c>
      <c r="I157">
        <v>1</v>
      </c>
      <c r="J157">
        <v>0</v>
      </c>
      <c r="K157">
        <v>1</v>
      </c>
      <c r="L157">
        <v>1</v>
      </c>
      <c r="M157">
        <v>1</v>
      </c>
      <c r="N157">
        <v>1</v>
      </c>
      <c r="O157">
        <v>1</v>
      </c>
      <c r="P157" t="s">
        <v>254</v>
      </c>
    </row>
    <row r="158" spans="1:16" x14ac:dyDescent="0.25">
      <c r="A158" t="s">
        <v>140</v>
      </c>
      <c r="B158" t="s">
        <v>83</v>
      </c>
      <c r="C158">
        <v>0</v>
      </c>
      <c r="D158">
        <v>13.92993855476379</v>
      </c>
      <c r="E158">
        <v>1</v>
      </c>
      <c r="F158">
        <v>1</v>
      </c>
      <c r="G158">
        <v>1</v>
      </c>
      <c r="H158">
        <v>1</v>
      </c>
      <c r="I158">
        <v>1</v>
      </c>
      <c r="J158">
        <v>0</v>
      </c>
      <c r="K158">
        <v>1</v>
      </c>
      <c r="L158">
        <v>1</v>
      </c>
      <c r="M158">
        <v>1</v>
      </c>
      <c r="N158">
        <v>1</v>
      </c>
      <c r="O158">
        <v>1</v>
      </c>
      <c r="P158" t="s">
        <v>255</v>
      </c>
    </row>
    <row r="159" spans="1:16" x14ac:dyDescent="0.25">
      <c r="A159" t="s">
        <v>140</v>
      </c>
      <c r="B159" t="s">
        <v>85</v>
      </c>
      <c r="C159">
        <v>0</v>
      </c>
      <c r="D159">
        <v>5.6208343505859384</v>
      </c>
      <c r="E159">
        <v>1</v>
      </c>
      <c r="F159">
        <v>1</v>
      </c>
      <c r="G159">
        <v>1</v>
      </c>
      <c r="H159">
        <v>1</v>
      </c>
      <c r="I159">
        <v>1</v>
      </c>
      <c r="J159">
        <v>0</v>
      </c>
      <c r="K159">
        <v>1</v>
      </c>
      <c r="L159">
        <v>1</v>
      </c>
      <c r="M159">
        <v>1</v>
      </c>
      <c r="N159">
        <v>1</v>
      </c>
      <c r="O159">
        <v>1</v>
      </c>
      <c r="P159" t="s">
        <v>256</v>
      </c>
    </row>
    <row r="160" spans="1:16" x14ac:dyDescent="0.25">
      <c r="A160" t="s">
        <v>140</v>
      </c>
      <c r="B160" t="s">
        <v>87</v>
      </c>
      <c r="C160">
        <v>0</v>
      </c>
      <c r="D160">
        <v>5.2915949821472168</v>
      </c>
      <c r="E160">
        <v>0</v>
      </c>
      <c r="F160" t="s">
        <v>22</v>
      </c>
      <c r="G160" t="s">
        <v>22</v>
      </c>
      <c r="H160" t="s">
        <v>22</v>
      </c>
      <c r="I160" t="s">
        <v>22</v>
      </c>
      <c r="J160" t="s">
        <v>22</v>
      </c>
      <c r="K160" t="s">
        <v>22</v>
      </c>
      <c r="L160" t="s">
        <v>22</v>
      </c>
      <c r="M160" t="s">
        <v>22</v>
      </c>
      <c r="N160" t="s">
        <v>22</v>
      </c>
      <c r="O160" t="s">
        <v>22</v>
      </c>
      <c r="P160" t="s">
        <v>257</v>
      </c>
    </row>
    <row r="161" spans="1:16" x14ac:dyDescent="0.25">
      <c r="A161" t="s">
        <v>140</v>
      </c>
      <c r="B161" t="s">
        <v>89</v>
      </c>
      <c r="C161">
        <v>0</v>
      </c>
      <c r="D161">
        <v>10.367835283279421</v>
      </c>
      <c r="E161">
        <v>1</v>
      </c>
      <c r="F161">
        <v>1</v>
      </c>
      <c r="G161">
        <v>1</v>
      </c>
      <c r="H161">
        <v>1</v>
      </c>
      <c r="I161">
        <v>1</v>
      </c>
      <c r="J161">
        <v>1</v>
      </c>
      <c r="K161">
        <v>1</v>
      </c>
      <c r="L161">
        <v>1</v>
      </c>
      <c r="M161">
        <v>1</v>
      </c>
      <c r="N161">
        <v>1</v>
      </c>
      <c r="O161">
        <v>1</v>
      </c>
    </row>
    <row r="162" spans="1:16" x14ac:dyDescent="0.25">
      <c r="A162" t="s">
        <v>140</v>
      </c>
      <c r="B162" t="s">
        <v>90</v>
      </c>
      <c r="C162">
        <v>0</v>
      </c>
      <c r="D162">
        <v>12.767215251922609</v>
      </c>
      <c r="E162">
        <v>1</v>
      </c>
      <c r="F162">
        <v>1</v>
      </c>
      <c r="G162">
        <v>1</v>
      </c>
      <c r="H162">
        <v>1</v>
      </c>
      <c r="I162">
        <v>1</v>
      </c>
      <c r="J162">
        <v>0</v>
      </c>
      <c r="K162">
        <v>1</v>
      </c>
      <c r="L162">
        <v>1</v>
      </c>
      <c r="M162">
        <v>1</v>
      </c>
      <c r="N162">
        <v>1</v>
      </c>
      <c r="O162">
        <v>1</v>
      </c>
      <c r="P162" t="s">
        <v>258</v>
      </c>
    </row>
    <row r="163" spans="1:16" x14ac:dyDescent="0.25">
      <c r="A163" t="s">
        <v>140</v>
      </c>
      <c r="B163" t="s">
        <v>115</v>
      </c>
      <c r="C163">
        <v>0</v>
      </c>
      <c r="D163">
        <v>12.539881706237789</v>
      </c>
      <c r="E163">
        <v>1</v>
      </c>
      <c r="F163">
        <v>1</v>
      </c>
      <c r="G163">
        <v>1</v>
      </c>
      <c r="H163">
        <v>1</v>
      </c>
      <c r="I163">
        <v>1</v>
      </c>
      <c r="J163">
        <v>0</v>
      </c>
      <c r="K163">
        <v>1</v>
      </c>
      <c r="L163">
        <v>1</v>
      </c>
      <c r="M163">
        <v>1</v>
      </c>
      <c r="N163">
        <v>1</v>
      </c>
      <c r="O163">
        <v>1</v>
      </c>
      <c r="P163" t="s">
        <v>259</v>
      </c>
    </row>
    <row r="164" spans="1:16" x14ac:dyDescent="0.25">
      <c r="A164" t="s">
        <v>140</v>
      </c>
      <c r="B164" t="s">
        <v>117</v>
      </c>
      <c r="C164">
        <v>0</v>
      </c>
      <c r="D164">
        <v>8.6110270023345947</v>
      </c>
      <c r="E164">
        <v>1</v>
      </c>
      <c r="F164">
        <v>1</v>
      </c>
      <c r="G164">
        <v>1</v>
      </c>
      <c r="H164">
        <v>1</v>
      </c>
      <c r="I164">
        <v>1</v>
      </c>
      <c r="J164">
        <v>0</v>
      </c>
      <c r="K164">
        <v>1</v>
      </c>
      <c r="L164">
        <v>1</v>
      </c>
      <c r="M164">
        <v>1</v>
      </c>
      <c r="N164">
        <v>1</v>
      </c>
      <c r="O164">
        <v>1</v>
      </c>
      <c r="P164" t="s">
        <v>260</v>
      </c>
    </row>
    <row r="165" spans="1:16" x14ac:dyDescent="0.25">
      <c r="A165" t="s">
        <v>140</v>
      </c>
      <c r="B165" t="s">
        <v>119</v>
      </c>
      <c r="C165">
        <v>0</v>
      </c>
      <c r="D165">
        <v>13.500417709350589</v>
      </c>
      <c r="E165">
        <v>0</v>
      </c>
      <c r="F165" t="s">
        <v>22</v>
      </c>
      <c r="G165" t="s">
        <v>22</v>
      </c>
      <c r="H165" t="s">
        <v>22</v>
      </c>
      <c r="I165" t="s">
        <v>22</v>
      </c>
      <c r="J165" t="s">
        <v>22</v>
      </c>
      <c r="K165" t="s">
        <v>22</v>
      </c>
      <c r="L165" t="s">
        <v>22</v>
      </c>
      <c r="M165" t="s">
        <v>22</v>
      </c>
      <c r="N165" t="s">
        <v>22</v>
      </c>
      <c r="O165" t="s">
        <v>22</v>
      </c>
      <c r="P165" t="s">
        <v>261</v>
      </c>
    </row>
    <row r="166" spans="1:16" x14ac:dyDescent="0.25">
      <c r="A166" t="s">
        <v>140</v>
      </c>
      <c r="B166" t="s">
        <v>121</v>
      </c>
      <c r="C166">
        <v>0</v>
      </c>
      <c r="D166">
        <v>5.4122762680053711</v>
      </c>
      <c r="E166">
        <v>1</v>
      </c>
      <c r="F166">
        <v>1</v>
      </c>
      <c r="G166">
        <v>1</v>
      </c>
      <c r="H166">
        <v>1</v>
      </c>
      <c r="I166">
        <v>1</v>
      </c>
      <c r="J166">
        <v>0</v>
      </c>
      <c r="K166">
        <v>1</v>
      </c>
      <c r="L166">
        <v>1</v>
      </c>
      <c r="M166">
        <v>1</v>
      </c>
      <c r="N166">
        <v>1</v>
      </c>
      <c r="O166">
        <v>1</v>
      </c>
      <c r="P166" t="s">
        <v>262</v>
      </c>
    </row>
    <row r="167" spans="1:16" x14ac:dyDescent="0.25">
      <c r="A167" t="s">
        <v>140</v>
      </c>
      <c r="B167" t="s">
        <v>122</v>
      </c>
      <c r="C167">
        <v>0</v>
      </c>
      <c r="D167">
        <v>5.1498363018035889</v>
      </c>
      <c r="E167">
        <v>1</v>
      </c>
      <c r="F167">
        <v>1</v>
      </c>
      <c r="G167">
        <v>1</v>
      </c>
      <c r="H167">
        <v>1</v>
      </c>
      <c r="I167">
        <v>1</v>
      </c>
      <c r="J167">
        <v>0</v>
      </c>
      <c r="K167">
        <v>1</v>
      </c>
      <c r="L167">
        <v>1</v>
      </c>
      <c r="M167">
        <v>1</v>
      </c>
      <c r="N167">
        <v>1</v>
      </c>
      <c r="O167">
        <v>1</v>
      </c>
      <c r="P167" t="s">
        <v>263</v>
      </c>
    </row>
    <row r="168" spans="1:16" x14ac:dyDescent="0.25">
      <c r="A168" t="s">
        <v>140</v>
      </c>
      <c r="B168" t="s">
        <v>124</v>
      </c>
      <c r="C168">
        <v>0</v>
      </c>
      <c r="D168">
        <v>5.0586767196655273</v>
      </c>
      <c r="E168">
        <v>1</v>
      </c>
      <c r="F168">
        <v>1</v>
      </c>
      <c r="G168">
        <v>1</v>
      </c>
      <c r="H168">
        <v>1</v>
      </c>
      <c r="I168">
        <v>1</v>
      </c>
      <c r="J168">
        <v>0</v>
      </c>
      <c r="K168">
        <v>1</v>
      </c>
      <c r="L168">
        <v>1</v>
      </c>
      <c r="M168">
        <v>1</v>
      </c>
      <c r="N168">
        <v>1</v>
      </c>
      <c r="O168">
        <v>1</v>
      </c>
      <c r="P168" t="s">
        <v>264</v>
      </c>
    </row>
    <row r="169" spans="1:16" x14ac:dyDescent="0.25">
      <c r="A169" t="s">
        <v>140</v>
      </c>
      <c r="B169" t="s">
        <v>126</v>
      </c>
      <c r="C169">
        <v>0</v>
      </c>
      <c r="D169">
        <v>13.82773590087891</v>
      </c>
      <c r="E169">
        <v>1</v>
      </c>
      <c r="F169">
        <v>1</v>
      </c>
      <c r="G169">
        <v>1</v>
      </c>
      <c r="H169">
        <v>1</v>
      </c>
      <c r="I169">
        <v>1</v>
      </c>
      <c r="J169">
        <v>0</v>
      </c>
      <c r="K169">
        <v>1</v>
      </c>
      <c r="L169">
        <v>1</v>
      </c>
      <c r="M169">
        <v>1</v>
      </c>
      <c r="N169">
        <v>1</v>
      </c>
      <c r="O169">
        <v>1</v>
      </c>
      <c r="P169" t="s">
        <v>265</v>
      </c>
    </row>
    <row r="170" spans="1:16" x14ac:dyDescent="0.25">
      <c r="A170" t="s">
        <v>140</v>
      </c>
      <c r="B170" t="s">
        <v>128</v>
      </c>
      <c r="C170">
        <v>0</v>
      </c>
      <c r="D170">
        <v>4.6708085536956787</v>
      </c>
      <c r="E170">
        <v>1</v>
      </c>
      <c r="F170">
        <v>1</v>
      </c>
      <c r="G170">
        <v>1</v>
      </c>
      <c r="H170">
        <v>1</v>
      </c>
      <c r="I170">
        <v>1</v>
      </c>
      <c r="J170">
        <v>0</v>
      </c>
      <c r="K170">
        <v>1</v>
      </c>
      <c r="L170">
        <v>1</v>
      </c>
      <c r="M170">
        <v>1</v>
      </c>
      <c r="N170">
        <v>1</v>
      </c>
      <c r="O170">
        <v>1</v>
      </c>
      <c r="P170" t="s">
        <v>266</v>
      </c>
    </row>
    <row r="171" spans="1:16" x14ac:dyDescent="0.25">
      <c r="A171" t="s">
        <v>140</v>
      </c>
      <c r="B171" t="s">
        <v>130</v>
      </c>
      <c r="C171">
        <v>0</v>
      </c>
      <c r="D171">
        <v>4.5711941719055176</v>
      </c>
      <c r="E171">
        <v>1</v>
      </c>
      <c r="F171">
        <v>1</v>
      </c>
      <c r="G171">
        <v>1</v>
      </c>
      <c r="H171">
        <v>1</v>
      </c>
      <c r="I171">
        <v>1</v>
      </c>
      <c r="J171">
        <v>0</v>
      </c>
      <c r="K171">
        <v>1</v>
      </c>
      <c r="L171">
        <v>1</v>
      </c>
      <c r="M171">
        <v>1</v>
      </c>
      <c r="N171">
        <v>1</v>
      </c>
      <c r="O171">
        <v>1</v>
      </c>
      <c r="P171" t="s">
        <v>267</v>
      </c>
    </row>
    <row r="172" spans="1:16" x14ac:dyDescent="0.25">
      <c r="A172" t="s">
        <v>140</v>
      </c>
      <c r="B172" t="s">
        <v>131</v>
      </c>
      <c r="C172">
        <v>0</v>
      </c>
      <c r="D172">
        <v>14.12193846702576</v>
      </c>
      <c r="E172">
        <v>1</v>
      </c>
      <c r="F172">
        <v>1</v>
      </c>
      <c r="G172">
        <v>1</v>
      </c>
      <c r="H172">
        <v>1</v>
      </c>
      <c r="I172">
        <v>1</v>
      </c>
      <c r="J172">
        <v>0</v>
      </c>
      <c r="K172">
        <v>0</v>
      </c>
      <c r="L172">
        <v>1</v>
      </c>
      <c r="M172">
        <v>1</v>
      </c>
      <c r="N172">
        <v>1</v>
      </c>
      <c r="O172">
        <v>1</v>
      </c>
      <c r="P172" t="s">
        <v>268</v>
      </c>
    </row>
    <row r="173" spans="1:16" x14ac:dyDescent="0.25">
      <c r="A173" t="s">
        <v>140</v>
      </c>
      <c r="B173" t="s">
        <v>133</v>
      </c>
      <c r="C173">
        <v>0</v>
      </c>
      <c r="D173">
        <v>6.4491074085235596</v>
      </c>
      <c r="E173">
        <v>0</v>
      </c>
      <c r="F173" t="s">
        <v>22</v>
      </c>
      <c r="G173" t="s">
        <v>22</v>
      </c>
      <c r="H173" t="s">
        <v>22</v>
      </c>
      <c r="I173" t="s">
        <v>22</v>
      </c>
      <c r="J173" t="s">
        <v>22</v>
      </c>
      <c r="K173" t="s">
        <v>22</v>
      </c>
      <c r="L173" t="s">
        <v>22</v>
      </c>
      <c r="M173" t="s">
        <v>22</v>
      </c>
      <c r="N173" t="s">
        <v>22</v>
      </c>
      <c r="O173" t="s">
        <v>22</v>
      </c>
      <c r="P173" t="s">
        <v>269</v>
      </c>
    </row>
    <row r="174" spans="1:16" x14ac:dyDescent="0.25">
      <c r="A174" t="s">
        <v>140</v>
      </c>
      <c r="B174" t="s">
        <v>135</v>
      </c>
      <c r="C174">
        <v>0</v>
      </c>
      <c r="D174">
        <v>10.423318386077881</v>
      </c>
      <c r="E174">
        <v>1</v>
      </c>
      <c r="F174">
        <v>1</v>
      </c>
      <c r="G174">
        <v>1</v>
      </c>
      <c r="H174">
        <v>1</v>
      </c>
      <c r="I174">
        <v>1</v>
      </c>
      <c r="J174">
        <v>1</v>
      </c>
      <c r="K174">
        <v>1</v>
      </c>
      <c r="L174">
        <v>1</v>
      </c>
      <c r="M174">
        <v>1</v>
      </c>
      <c r="N174">
        <v>1</v>
      </c>
      <c r="O174">
        <v>1</v>
      </c>
    </row>
    <row r="175" spans="1:16" x14ac:dyDescent="0.25">
      <c r="A175" t="s">
        <v>140</v>
      </c>
      <c r="B175" t="s">
        <v>137</v>
      </c>
      <c r="C175">
        <v>0</v>
      </c>
      <c r="D175">
        <v>11.28238797187805</v>
      </c>
      <c r="E175">
        <v>1</v>
      </c>
      <c r="F175">
        <v>1</v>
      </c>
      <c r="G175">
        <v>1</v>
      </c>
      <c r="H175">
        <v>1</v>
      </c>
      <c r="I175">
        <v>1</v>
      </c>
      <c r="J175">
        <v>1</v>
      </c>
      <c r="K175">
        <v>1</v>
      </c>
      <c r="L175">
        <v>1</v>
      </c>
      <c r="M175">
        <v>1</v>
      </c>
      <c r="N175">
        <v>1</v>
      </c>
      <c r="O175">
        <v>1</v>
      </c>
    </row>
    <row r="176" spans="1:16" x14ac:dyDescent="0.25">
      <c r="A176" t="s">
        <v>140</v>
      </c>
      <c r="B176" t="s">
        <v>138</v>
      </c>
      <c r="C176">
        <v>0</v>
      </c>
      <c r="D176">
        <v>12.43830394744873</v>
      </c>
      <c r="E176">
        <v>1</v>
      </c>
      <c r="F176">
        <v>1</v>
      </c>
      <c r="G176">
        <v>1</v>
      </c>
      <c r="H176">
        <v>1</v>
      </c>
      <c r="I176">
        <v>1</v>
      </c>
      <c r="J176">
        <v>0</v>
      </c>
      <c r="K176">
        <v>1</v>
      </c>
      <c r="L176">
        <v>1</v>
      </c>
      <c r="M176">
        <v>1</v>
      </c>
      <c r="N176">
        <v>1</v>
      </c>
      <c r="O176">
        <v>1</v>
      </c>
      <c r="P176" t="s">
        <v>270</v>
      </c>
    </row>
    <row r="177" spans="1:16" x14ac:dyDescent="0.25">
      <c r="A177" t="s">
        <v>140</v>
      </c>
      <c r="B177" t="s">
        <v>174</v>
      </c>
      <c r="C177">
        <v>0</v>
      </c>
      <c r="D177">
        <v>11.044538259506229</v>
      </c>
      <c r="E177">
        <v>1</v>
      </c>
      <c r="F177">
        <v>1</v>
      </c>
      <c r="G177">
        <v>1</v>
      </c>
      <c r="H177">
        <v>1</v>
      </c>
      <c r="I177">
        <v>1</v>
      </c>
      <c r="J177">
        <v>0</v>
      </c>
      <c r="K177">
        <v>1</v>
      </c>
      <c r="L177">
        <v>1</v>
      </c>
      <c r="M177">
        <v>1</v>
      </c>
      <c r="N177">
        <v>1</v>
      </c>
      <c r="O177">
        <v>1</v>
      </c>
      <c r="P177" t="s">
        <v>271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77"/>
  <sheetViews>
    <sheetView workbookViewId="0"/>
  </sheetViews>
  <sheetFormatPr defaultRowHeight="13.8" x14ac:dyDescent="0.25"/>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t="s">
        <v>16</v>
      </c>
      <c r="B2" t="s">
        <v>17</v>
      </c>
      <c r="C2">
        <v>0</v>
      </c>
      <c r="D2">
        <v>9.9057977199554443</v>
      </c>
      <c r="E2">
        <v>1</v>
      </c>
      <c r="F2">
        <v>1</v>
      </c>
      <c r="G2">
        <v>1</v>
      </c>
      <c r="H2">
        <v>1</v>
      </c>
      <c r="I2">
        <v>1</v>
      </c>
      <c r="J2">
        <v>1</v>
      </c>
      <c r="K2">
        <v>1</v>
      </c>
      <c r="L2">
        <v>1</v>
      </c>
      <c r="M2">
        <v>1</v>
      </c>
      <c r="N2">
        <v>1</v>
      </c>
      <c r="O2">
        <v>1</v>
      </c>
    </row>
    <row r="3" spans="1:16" x14ac:dyDescent="0.25">
      <c r="A3" t="s">
        <v>16</v>
      </c>
      <c r="B3" t="s">
        <v>19</v>
      </c>
      <c r="C3">
        <v>0</v>
      </c>
      <c r="D3">
        <v>2.9739623069763179</v>
      </c>
      <c r="E3">
        <v>1</v>
      </c>
      <c r="F3">
        <v>1</v>
      </c>
      <c r="G3">
        <v>1</v>
      </c>
      <c r="H3">
        <v>1</v>
      </c>
      <c r="I3">
        <v>1</v>
      </c>
      <c r="J3">
        <v>1</v>
      </c>
      <c r="K3">
        <v>1</v>
      </c>
      <c r="L3">
        <v>1</v>
      </c>
      <c r="M3">
        <v>1</v>
      </c>
      <c r="N3">
        <v>1</v>
      </c>
      <c r="O3">
        <v>1</v>
      </c>
    </row>
    <row r="4" spans="1:16" x14ac:dyDescent="0.25">
      <c r="A4" t="s">
        <v>16</v>
      </c>
      <c r="B4" t="s">
        <v>20</v>
      </c>
      <c r="C4">
        <v>0</v>
      </c>
      <c r="D4">
        <v>7.979175329208374</v>
      </c>
      <c r="E4">
        <v>1</v>
      </c>
      <c r="F4">
        <v>1</v>
      </c>
      <c r="G4">
        <v>1</v>
      </c>
      <c r="H4">
        <v>1</v>
      </c>
      <c r="I4">
        <v>1</v>
      </c>
      <c r="J4">
        <v>1</v>
      </c>
      <c r="K4">
        <v>1</v>
      </c>
      <c r="L4">
        <v>1</v>
      </c>
      <c r="M4">
        <v>1</v>
      </c>
      <c r="N4">
        <v>1</v>
      </c>
      <c r="O4">
        <v>1</v>
      </c>
    </row>
    <row r="5" spans="1:16" x14ac:dyDescent="0.25">
      <c r="A5" t="s">
        <v>16</v>
      </c>
      <c r="B5" t="s">
        <v>21</v>
      </c>
      <c r="C5">
        <v>0</v>
      </c>
      <c r="D5">
        <v>6.3302638530731201</v>
      </c>
      <c r="E5">
        <v>1</v>
      </c>
      <c r="F5">
        <v>0</v>
      </c>
      <c r="G5">
        <v>1</v>
      </c>
      <c r="H5" t="s">
        <v>22</v>
      </c>
      <c r="I5">
        <v>1</v>
      </c>
      <c r="J5" t="s">
        <v>22</v>
      </c>
      <c r="K5">
        <v>1</v>
      </c>
      <c r="L5">
        <v>1</v>
      </c>
      <c r="M5">
        <v>1</v>
      </c>
      <c r="N5">
        <v>1</v>
      </c>
      <c r="O5">
        <v>1</v>
      </c>
      <c r="P5" t="s">
        <v>272</v>
      </c>
    </row>
    <row r="6" spans="1:16" x14ac:dyDescent="0.25">
      <c r="A6" t="s">
        <v>16</v>
      </c>
      <c r="B6" t="s">
        <v>24</v>
      </c>
      <c r="C6">
        <v>0</v>
      </c>
      <c r="D6">
        <v>2.950331449508667</v>
      </c>
      <c r="E6">
        <v>1</v>
      </c>
      <c r="F6">
        <v>1</v>
      </c>
      <c r="G6">
        <v>1</v>
      </c>
      <c r="H6">
        <v>1</v>
      </c>
      <c r="I6">
        <v>1</v>
      </c>
      <c r="J6">
        <v>1</v>
      </c>
      <c r="K6">
        <v>1</v>
      </c>
      <c r="L6">
        <v>1</v>
      </c>
      <c r="M6">
        <v>1</v>
      </c>
      <c r="N6">
        <v>1</v>
      </c>
      <c r="O6">
        <v>1</v>
      </c>
    </row>
    <row r="7" spans="1:16" x14ac:dyDescent="0.25">
      <c r="A7" t="s">
        <v>16</v>
      </c>
      <c r="B7" t="s">
        <v>25</v>
      </c>
      <c r="C7">
        <v>0</v>
      </c>
      <c r="D7">
        <v>3.0048315525054932</v>
      </c>
      <c r="E7">
        <v>1</v>
      </c>
      <c r="F7">
        <v>1</v>
      </c>
      <c r="G7">
        <v>1</v>
      </c>
      <c r="H7">
        <v>1</v>
      </c>
      <c r="I7">
        <v>1</v>
      </c>
      <c r="J7">
        <v>1</v>
      </c>
      <c r="K7">
        <v>1</v>
      </c>
      <c r="L7">
        <v>1</v>
      </c>
      <c r="M7">
        <v>1</v>
      </c>
      <c r="N7">
        <v>1</v>
      </c>
      <c r="O7">
        <v>1</v>
      </c>
    </row>
    <row r="8" spans="1:16" x14ac:dyDescent="0.25">
      <c r="A8" t="s">
        <v>16</v>
      </c>
      <c r="B8" t="s">
        <v>26</v>
      </c>
      <c r="C8">
        <v>0</v>
      </c>
      <c r="D8">
        <v>10.941785573959351</v>
      </c>
      <c r="E8">
        <v>1</v>
      </c>
      <c r="F8">
        <v>1</v>
      </c>
      <c r="G8">
        <v>1</v>
      </c>
      <c r="H8">
        <v>1</v>
      </c>
      <c r="I8">
        <v>1</v>
      </c>
      <c r="J8">
        <v>1</v>
      </c>
      <c r="K8">
        <v>1</v>
      </c>
      <c r="L8">
        <v>1</v>
      </c>
      <c r="M8">
        <v>1</v>
      </c>
      <c r="N8">
        <v>1</v>
      </c>
      <c r="O8">
        <v>1</v>
      </c>
    </row>
    <row r="9" spans="1:16" x14ac:dyDescent="0.25">
      <c r="A9" t="s">
        <v>16</v>
      </c>
      <c r="B9" t="s">
        <v>27</v>
      </c>
      <c r="C9">
        <v>0</v>
      </c>
      <c r="D9">
        <v>8.5720221996307373</v>
      </c>
      <c r="E9">
        <v>1</v>
      </c>
      <c r="F9">
        <v>1</v>
      </c>
      <c r="G9">
        <v>1</v>
      </c>
      <c r="H9">
        <v>1</v>
      </c>
      <c r="I9">
        <v>1</v>
      </c>
      <c r="J9">
        <v>1</v>
      </c>
      <c r="K9">
        <v>1</v>
      </c>
      <c r="L9">
        <v>1</v>
      </c>
      <c r="M9">
        <v>1</v>
      </c>
      <c r="N9">
        <v>1</v>
      </c>
      <c r="O9">
        <v>1</v>
      </c>
    </row>
    <row r="10" spans="1:16" x14ac:dyDescent="0.25">
      <c r="A10" t="s">
        <v>16</v>
      </c>
      <c r="B10" t="s">
        <v>28</v>
      </c>
      <c r="C10">
        <v>0</v>
      </c>
      <c r="D10">
        <v>7.4044814109802246</v>
      </c>
      <c r="E10">
        <v>1</v>
      </c>
      <c r="F10">
        <v>1</v>
      </c>
      <c r="G10">
        <v>1</v>
      </c>
      <c r="H10">
        <v>1</v>
      </c>
      <c r="I10">
        <v>1</v>
      </c>
      <c r="J10">
        <v>1</v>
      </c>
      <c r="K10">
        <v>1</v>
      </c>
      <c r="L10">
        <v>1</v>
      </c>
      <c r="M10">
        <v>1</v>
      </c>
      <c r="N10">
        <v>1</v>
      </c>
      <c r="O10">
        <v>1</v>
      </c>
    </row>
    <row r="11" spans="1:16" x14ac:dyDescent="0.25">
      <c r="A11" t="s">
        <v>16</v>
      </c>
      <c r="B11" t="s">
        <v>29</v>
      </c>
      <c r="C11">
        <v>0</v>
      </c>
      <c r="D11">
        <v>10.857038259506229</v>
      </c>
      <c r="E11">
        <v>1</v>
      </c>
      <c r="F11">
        <v>1</v>
      </c>
      <c r="G11">
        <v>1</v>
      </c>
      <c r="H11">
        <v>1</v>
      </c>
      <c r="I11">
        <v>1</v>
      </c>
      <c r="J11">
        <v>1</v>
      </c>
      <c r="K11">
        <v>1</v>
      </c>
      <c r="L11">
        <v>1</v>
      </c>
      <c r="M11">
        <v>1</v>
      </c>
      <c r="N11">
        <v>1</v>
      </c>
      <c r="O11">
        <v>1</v>
      </c>
    </row>
    <row r="12" spans="1:16" x14ac:dyDescent="0.25">
      <c r="A12" t="s">
        <v>16</v>
      </c>
      <c r="B12" t="s">
        <v>30</v>
      </c>
      <c r="C12">
        <v>0</v>
      </c>
      <c r="D12">
        <v>13.191506862640381</v>
      </c>
      <c r="E12">
        <v>0</v>
      </c>
      <c r="F12" t="s">
        <v>22</v>
      </c>
      <c r="G12" t="s">
        <v>22</v>
      </c>
      <c r="H12" t="s">
        <v>22</v>
      </c>
      <c r="I12" t="s">
        <v>22</v>
      </c>
      <c r="J12" t="s">
        <v>22</v>
      </c>
      <c r="K12" t="s">
        <v>22</v>
      </c>
      <c r="L12" t="s">
        <v>22</v>
      </c>
      <c r="M12" t="s">
        <v>22</v>
      </c>
      <c r="N12" t="s">
        <v>22</v>
      </c>
      <c r="O12" t="s">
        <v>22</v>
      </c>
      <c r="P12" t="s">
        <v>273</v>
      </c>
    </row>
    <row r="13" spans="1:16" x14ac:dyDescent="0.25">
      <c r="A13" t="s">
        <v>16</v>
      </c>
      <c r="B13" t="s">
        <v>32</v>
      </c>
      <c r="C13">
        <v>0</v>
      </c>
      <c r="D13">
        <v>2.8128757476806641</v>
      </c>
      <c r="E13">
        <v>1</v>
      </c>
      <c r="F13">
        <v>1</v>
      </c>
      <c r="G13">
        <v>1</v>
      </c>
      <c r="H13">
        <v>1</v>
      </c>
      <c r="I13">
        <v>1</v>
      </c>
      <c r="J13">
        <v>1</v>
      </c>
      <c r="K13">
        <v>1</v>
      </c>
      <c r="L13">
        <v>1</v>
      </c>
      <c r="M13">
        <v>1</v>
      </c>
      <c r="N13">
        <v>1</v>
      </c>
      <c r="O13">
        <v>1</v>
      </c>
    </row>
    <row r="14" spans="1:16" x14ac:dyDescent="0.25">
      <c r="A14" t="s">
        <v>16</v>
      </c>
      <c r="B14" t="s">
        <v>33</v>
      </c>
      <c r="C14">
        <v>0</v>
      </c>
      <c r="D14">
        <v>11.63449001312256</v>
      </c>
      <c r="E14">
        <v>1</v>
      </c>
      <c r="F14">
        <v>0</v>
      </c>
      <c r="G14">
        <v>1</v>
      </c>
      <c r="H14" t="s">
        <v>22</v>
      </c>
      <c r="I14">
        <v>1</v>
      </c>
      <c r="J14" t="s">
        <v>22</v>
      </c>
      <c r="K14">
        <v>1</v>
      </c>
      <c r="L14">
        <v>1</v>
      </c>
      <c r="M14">
        <v>1</v>
      </c>
      <c r="N14">
        <v>1</v>
      </c>
      <c r="O14">
        <v>1</v>
      </c>
      <c r="P14" t="s">
        <v>274</v>
      </c>
    </row>
    <row r="15" spans="1:16" x14ac:dyDescent="0.25">
      <c r="A15" t="s">
        <v>16</v>
      </c>
      <c r="B15" t="s">
        <v>35</v>
      </c>
      <c r="C15">
        <v>0</v>
      </c>
      <c r="D15">
        <v>3.038211345672607</v>
      </c>
      <c r="E15">
        <v>1</v>
      </c>
      <c r="F15">
        <v>1</v>
      </c>
      <c r="G15">
        <v>1</v>
      </c>
      <c r="H15">
        <v>1</v>
      </c>
      <c r="I15">
        <v>1</v>
      </c>
      <c r="J15">
        <v>1</v>
      </c>
      <c r="K15">
        <v>1</v>
      </c>
      <c r="L15">
        <v>1</v>
      </c>
      <c r="M15">
        <v>1</v>
      </c>
      <c r="N15">
        <v>1</v>
      </c>
      <c r="O15">
        <v>1</v>
      </c>
    </row>
    <row r="16" spans="1:16" x14ac:dyDescent="0.25">
      <c r="A16" t="s">
        <v>16</v>
      </c>
      <c r="B16" t="s">
        <v>36</v>
      </c>
      <c r="C16">
        <v>0</v>
      </c>
      <c r="D16">
        <v>9.9127397537231445</v>
      </c>
      <c r="E16">
        <v>1</v>
      </c>
      <c r="F16">
        <v>1</v>
      </c>
      <c r="G16">
        <v>1</v>
      </c>
      <c r="H16">
        <v>1</v>
      </c>
      <c r="I16">
        <v>1</v>
      </c>
      <c r="J16">
        <v>1</v>
      </c>
      <c r="K16">
        <v>1</v>
      </c>
      <c r="L16">
        <v>1</v>
      </c>
      <c r="M16">
        <v>1</v>
      </c>
      <c r="N16">
        <v>1</v>
      </c>
      <c r="O16">
        <v>1</v>
      </c>
    </row>
    <row r="17" spans="1:16" x14ac:dyDescent="0.25">
      <c r="A17" t="s">
        <v>16</v>
      </c>
      <c r="B17" t="s">
        <v>38</v>
      </c>
      <c r="C17">
        <v>0</v>
      </c>
      <c r="D17">
        <v>11.510377407073969</v>
      </c>
      <c r="E17">
        <v>1</v>
      </c>
      <c r="F17">
        <v>1</v>
      </c>
      <c r="G17">
        <v>1</v>
      </c>
      <c r="H17">
        <v>1</v>
      </c>
      <c r="I17">
        <v>1</v>
      </c>
      <c r="J17">
        <v>0</v>
      </c>
      <c r="K17">
        <v>1</v>
      </c>
      <c r="L17">
        <v>1</v>
      </c>
      <c r="M17">
        <v>1</v>
      </c>
      <c r="N17">
        <v>1</v>
      </c>
      <c r="O17">
        <v>1</v>
      </c>
      <c r="P17" t="s">
        <v>275</v>
      </c>
    </row>
    <row r="18" spans="1:16" x14ac:dyDescent="0.25">
      <c r="A18" t="s">
        <v>16</v>
      </c>
      <c r="B18" t="s">
        <v>39</v>
      </c>
      <c r="C18">
        <v>0</v>
      </c>
      <c r="D18">
        <v>2.9226915836334229</v>
      </c>
      <c r="E18">
        <v>1</v>
      </c>
      <c r="F18">
        <v>1</v>
      </c>
      <c r="G18">
        <v>1</v>
      </c>
      <c r="H18">
        <v>1</v>
      </c>
      <c r="I18">
        <v>1</v>
      </c>
      <c r="J18">
        <v>1</v>
      </c>
      <c r="K18">
        <v>1</v>
      </c>
      <c r="L18">
        <v>1</v>
      </c>
      <c r="M18">
        <v>1</v>
      </c>
      <c r="N18">
        <v>1</v>
      </c>
      <c r="O18">
        <v>1</v>
      </c>
    </row>
    <row r="19" spans="1:16" x14ac:dyDescent="0.25">
      <c r="A19" t="s">
        <v>16</v>
      </c>
      <c r="B19" t="s">
        <v>40</v>
      </c>
      <c r="C19">
        <v>0</v>
      </c>
      <c r="D19">
        <v>2.913615465164185</v>
      </c>
      <c r="E19">
        <v>1</v>
      </c>
      <c r="F19">
        <v>1</v>
      </c>
      <c r="G19">
        <v>1</v>
      </c>
      <c r="H19">
        <v>1</v>
      </c>
      <c r="I19">
        <v>1</v>
      </c>
      <c r="J19">
        <v>1</v>
      </c>
      <c r="K19">
        <v>1</v>
      </c>
      <c r="L19">
        <v>1</v>
      </c>
      <c r="M19">
        <v>1</v>
      </c>
      <c r="N19">
        <v>1</v>
      </c>
      <c r="O19">
        <v>1</v>
      </c>
    </row>
    <row r="20" spans="1:16" x14ac:dyDescent="0.25">
      <c r="A20" t="s">
        <v>16</v>
      </c>
      <c r="B20" t="s">
        <v>41</v>
      </c>
      <c r="C20">
        <v>0</v>
      </c>
      <c r="D20">
        <v>11.086639642715451</v>
      </c>
      <c r="E20">
        <v>1</v>
      </c>
      <c r="F20">
        <v>1</v>
      </c>
      <c r="G20">
        <v>1</v>
      </c>
      <c r="H20">
        <v>1</v>
      </c>
      <c r="I20">
        <v>1</v>
      </c>
      <c r="J20">
        <v>1</v>
      </c>
      <c r="K20">
        <v>1</v>
      </c>
      <c r="L20">
        <v>1</v>
      </c>
      <c r="M20">
        <v>1</v>
      </c>
      <c r="N20">
        <v>1</v>
      </c>
      <c r="O20">
        <v>1</v>
      </c>
    </row>
    <row r="21" spans="1:16" x14ac:dyDescent="0.25">
      <c r="A21" t="s">
        <v>16</v>
      </c>
      <c r="B21" t="s">
        <v>43</v>
      </c>
      <c r="C21">
        <v>0</v>
      </c>
      <c r="D21">
        <v>10.205905437469481</v>
      </c>
      <c r="E21">
        <v>1</v>
      </c>
      <c r="F21">
        <v>1</v>
      </c>
      <c r="G21">
        <v>1</v>
      </c>
      <c r="H21">
        <v>1</v>
      </c>
      <c r="I21">
        <v>1</v>
      </c>
      <c r="J21">
        <v>1</v>
      </c>
      <c r="K21">
        <v>1</v>
      </c>
      <c r="L21">
        <v>1</v>
      </c>
      <c r="M21">
        <v>1</v>
      </c>
      <c r="N21">
        <v>1</v>
      </c>
      <c r="O21">
        <v>1</v>
      </c>
    </row>
    <row r="22" spans="1:16" x14ac:dyDescent="0.25">
      <c r="A22" t="s">
        <v>16</v>
      </c>
      <c r="B22" t="s">
        <v>44</v>
      </c>
      <c r="C22">
        <v>0</v>
      </c>
      <c r="D22">
        <v>9.5037071704864502</v>
      </c>
      <c r="E22">
        <v>1</v>
      </c>
      <c r="F22">
        <v>1</v>
      </c>
      <c r="G22">
        <v>1</v>
      </c>
      <c r="H22">
        <v>1</v>
      </c>
      <c r="I22">
        <v>1</v>
      </c>
      <c r="J22">
        <v>1</v>
      </c>
      <c r="K22">
        <v>1</v>
      </c>
      <c r="L22">
        <v>1</v>
      </c>
      <c r="M22">
        <v>1</v>
      </c>
      <c r="N22">
        <v>1</v>
      </c>
      <c r="O22">
        <v>1</v>
      </c>
    </row>
    <row r="23" spans="1:16" x14ac:dyDescent="0.25">
      <c r="A23" t="s">
        <v>16</v>
      </c>
      <c r="B23" t="s">
        <v>45</v>
      </c>
      <c r="C23">
        <v>0</v>
      </c>
      <c r="D23">
        <v>11.98301005363464</v>
      </c>
      <c r="E23">
        <v>1</v>
      </c>
      <c r="F23">
        <v>1</v>
      </c>
      <c r="G23">
        <v>0</v>
      </c>
      <c r="H23" t="s">
        <v>22</v>
      </c>
      <c r="I23">
        <v>1</v>
      </c>
      <c r="J23">
        <v>1</v>
      </c>
      <c r="K23">
        <v>1</v>
      </c>
      <c r="L23">
        <v>1</v>
      </c>
      <c r="M23">
        <v>1</v>
      </c>
      <c r="N23">
        <v>1</v>
      </c>
      <c r="O23">
        <v>1</v>
      </c>
      <c r="P23" t="s">
        <v>276</v>
      </c>
    </row>
    <row r="24" spans="1:16" x14ac:dyDescent="0.25">
      <c r="A24" t="s">
        <v>16</v>
      </c>
      <c r="B24" t="s">
        <v>46</v>
      </c>
      <c r="C24">
        <v>0</v>
      </c>
      <c r="D24">
        <v>8.1547527313232422</v>
      </c>
      <c r="E24">
        <v>1</v>
      </c>
      <c r="F24">
        <v>1</v>
      </c>
      <c r="G24">
        <v>1</v>
      </c>
      <c r="H24">
        <v>1</v>
      </c>
      <c r="I24">
        <v>1</v>
      </c>
      <c r="J24">
        <v>1</v>
      </c>
      <c r="K24">
        <v>1</v>
      </c>
      <c r="L24">
        <v>1</v>
      </c>
      <c r="M24">
        <v>1</v>
      </c>
      <c r="N24">
        <v>1</v>
      </c>
      <c r="O24">
        <v>1</v>
      </c>
    </row>
    <row r="25" spans="1:16" x14ac:dyDescent="0.25">
      <c r="A25" t="s">
        <v>16</v>
      </c>
      <c r="B25" t="s">
        <v>47</v>
      </c>
      <c r="C25">
        <v>0</v>
      </c>
      <c r="D25">
        <v>10.094258785247799</v>
      </c>
      <c r="E25">
        <v>1</v>
      </c>
      <c r="F25">
        <v>1</v>
      </c>
      <c r="G25">
        <v>1</v>
      </c>
      <c r="H25">
        <v>1</v>
      </c>
      <c r="I25">
        <v>1</v>
      </c>
      <c r="J25">
        <v>1</v>
      </c>
      <c r="K25">
        <v>1</v>
      </c>
      <c r="L25">
        <v>1</v>
      </c>
      <c r="M25">
        <v>1</v>
      </c>
      <c r="N25">
        <v>1</v>
      </c>
      <c r="O25">
        <v>1</v>
      </c>
    </row>
    <row r="26" spans="1:16" x14ac:dyDescent="0.25">
      <c r="A26" t="s">
        <v>16</v>
      </c>
      <c r="B26" t="s">
        <v>48</v>
      </c>
      <c r="C26">
        <v>0</v>
      </c>
      <c r="D26">
        <v>9.644275426864624</v>
      </c>
      <c r="E26">
        <v>1</v>
      </c>
      <c r="F26">
        <v>1</v>
      </c>
      <c r="G26">
        <v>1</v>
      </c>
      <c r="H26">
        <v>1</v>
      </c>
      <c r="I26">
        <v>1</v>
      </c>
      <c r="J26">
        <v>1</v>
      </c>
      <c r="K26">
        <v>1</v>
      </c>
      <c r="L26">
        <v>1</v>
      </c>
      <c r="M26">
        <v>1</v>
      </c>
      <c r="N26">
        <v>1</v>
      </c>
      <c r="O26">
        <v>1</v>
      </c>
    </row>
    <row r="27" spans="1:16" x14ac:dyDescent="0.25">
      <c r="A27" t="s">
        <v>16</v>
      </c>
      <c r="B27" t="s">
        <v>49</v>
      </c>
      <c r="C27">
        <v>0</v>
      </c>
      <c r="D27">
        <v>8.2266335487365723</v>
      </c>
      <c r="E27">
        <v>1</v>
      </c>
      <c r="F27">
        <v>0</v>
      </c>
      <c r="G27">
        <v>1</v>
      </c>
      <c r="H27" t="s">
        <v>22</v>
      </c>
      <c r="I27">
        <v>1</v>
      </c>
      <c r="J27" t="s">
        <v>22</v>
      </c>
      <c r="K27">
        <v>1</v>
      </c>
      <c r="L27">
        <v>1</v>
      </c>
      <c r="M27">
        <v>1</v>
      </c>
      <c r="N27">
        <v>1</v>
      </c>
      <c r="O27">
        <v>1</v>
      </c>
      <c r="P27" t="s">
        <v>277</v>
      </c>
    </row>
    <row r="28" spans="1:16" x14ac:dyDescent="0.25">
      <c r="A28" t="s">
        <v>16</v>
      </c>
      <c r="B28" t="s">
        <v>51</v>
      </c>
      <c r="C28">
        <v>0</v>
      </c>
      <c r="D28">
        <v>11.883205890655519</v>
      </c>
      <c r="E28">
        <v>1</v>
      </c>
      <c r="F28">
        <v>0</v>
      </c>
      <c r="G28">
        <v>1</v>
      </c>
      <c r="H28" t="s">
        <v>22</v>
      </c>
      <c r="I28">
        <v>1</v>
      </c>
      <c r="J28" t="s">
        <v>22</v>
      </c>
      <c r="K28">
        <v>1</v>
      </c>
      <c r="L28">
        <v>1</v>
      </c>
      <c r="M28">
        <v>1</v>
      </c>
      <c r="N28">
        <v>1</v>
      </c>
      <c r="O28">
        <v>1</v>
      </c>
      <c r="P28" t="s">
        <v>278</v>
      </c>
    </row>
    <row r="29" spans="1:16" x14ac:dyDescent="0.25">
      <c r="A29" t="s">
        <v>16</v>
      </c>
      <c r="B29" t="s">
        <v>53</v>
      </c>
      <c r="C29">
        <v>0</v>
      </c>
      <c r="D29">
        <v>10.120774507522579</v>
      </c>
      <c r="E29">
        <v>1</v>
      </c>
      <c r="F29">
        <v>1</v>
      </c>
      <c r="G29">
        <v>1</v>
      </c>
      <c r="H29">
        <v>1</v>
      </c>
      <c r="I29">
        <v>1</v>
      </c>
      <c r="J29">
        <v>1</v>
      </c>
      <c r="K29">
        <v>1</v>
      </c>
      <c r="L29">
        <v>1</v>
      </c>
      <c r="M29">
        <v>1</v>
      </c>
      <c r="N29">
        <v>1</v>
      </c>
      <c r="O29">
        <v>1</v>
      </c>
    </row>
    <row r="30" spans="1:16" x14ac:dyDescent="0.25">
      <c r="A30" t="s">
        <v>16</v>
      </c>
      <c r="B30" t="s">
        <v>54</v>
      </c>
      <c r="C30">
        <v>0</v>
      </c>
      <c r="D30">
        <v>4.7794852256774902</v>
      </c>
      <c r="E30">
        <v>1</v>
      </c>
      <c r="F30">
        <v>1</v>
      </c>
      <c r="G30">
        <v>1</v>
      </c>
      <c r="H30">
        <v>1</v>
      </c>
      <c r="I30">
        <v>1</v>
      </c>
      <c r="J30">
        <v>1</v>
      </c>
      <c r="K30">
        <v>0</v>
      </c>
      <c r="L30">
        <v>1</v>
      </c>
      <c r="M30">
        <v>1</v>
      </c>
      <c r="N30">
        <v>1</v>
      </c>
      <c r="O30">
        <v>1</v>
      </c>
      <c r="P30" t="s">
        <v>279</v>
      </c>
    </row>
    <row r="31" spans="1:16" x14ac:dyDescent="0.25">
      <c r="A31" t="s">
        <v>16</v>
      </c>
      <c r="B31" t="s">
        <v>56</v>
      </c>
      <c r="C31">
        <v>0</v>
      </c>
      <c r="D31">
        <v>10.879211187362669</v>
      </c>
      <c r="E31">
        <v>1</v>
      </c>
      <c r="F31">
        <v>0</v>
      </c>
      <c r="G31">
        <v>0</v>
      </c>
      <c r="H31" t="s">
        <v>22</v>
      </c>
      <c r="I31">
        <v>1</v>
      </c>
      <c r="J31" t="s">
        <v>22</v>
      </c>
      <c r="K31">
        <v>1</v>
      </c>
      <c r="L31">
        <v>1</v>
      </c>
      <c r="M31">
        <v>1</v>
      </c>
      <c r="N31">
        <v>1</v>
      </c>
      <c r="O31">
        <v>1</v>
      </c>
      <c r="P31" t="s">
        <v>280</v>
      </c>
    </row>
    <row r="32" spans="1:16" x14ac:dyDescent="0.25">
      <c r="A32" t="s">
        <v>16</v>
      </c>
      <c r="B32" t="s">
        <v>58</v>
      </c>
      <c r="C32">
        <v>0</v>
      </c>
      <c r="D32">
        <v>10.549735546112061</v>
      </c>
      <c r="E32">
        <v>1</v>
      </c>
      <c r="F32">
        <v>0</v>
      </c>
      <c r="G32">
        <v>1</v>
      </c>
      <c r="H32" t="s">
        <v>22</v>
      </c>
      <c r="I32">
        <v>1</v>
      </c>
      <c r="J32" t="s">
        <v>22</v>
      </c>
      <c r="K32">
        <v>1</v>
      </c>
      <c r="L32">
        <v>1</v>
      </c>
      <c r="M32">
        <v>1</v>
      </c>
      <c r="N32">
        <v>1</v>
      </c>
      <c r="O32">
        <v>1</v>
      </c>
      <c r="P32" t="s">
        <v>281</v>
      </c>
    </row>
    <row r="33" spans="1:16" x14ac:dyDescent="0.25">
      <c r="A33" t="s">
        <v>16</v>
      </c>
      <c r="B33" t="s">
        <v>60</v>
      </c>
      <c r="C33">
        <v>0</v>
      </c>
      <c r="D33">
        <v>11.158751726150509</v>
      </c>
      <c r="E33">
        <v>1</v>
      </c>
      <c r="F33">
        <v>0</v>
      </c>
      <c r="G33">
        <v>1</v>
      </c>
      <c r="H33" t="s">
        <v>22</v>
      </c>
      <c r="I33">
        <v>1</v>
      </c>
      <c r="J33" t="s">
        <v>22</v>
      </c>
      <c r="K33">
        <v>1</v>
      </c>
      <c r="L33">
        <v>1</v>
      </c>
      <c r="M33">
        <v>1</v>
      </c>
      <c r="N33">
        <v>1</v>
      </c>
      <c r="O33">
        <v>1</v>
      </c>
      <c r="P33" t="s">
        <v>282</v>
      </c>
    </row>
    <row r="34" spans="1:16" x14ac:dyDescent="0.25">
      <c r="A34" t="s">
        <v>16</v>
      </c>
      <c r="B34" t="s">
        <v>62</v>
      </c>
      <c r="C34">
        <v>0</v>
      </c>
      <c r="D34">
        <v>7.7823808193206787</v>
      </c>
      <c r="E34">
        <v>1</v>
      </c>
      <c r="F34">
        <v>1</v>
      </c>
      <c r="G34">
        <v>1</v>
      </c>
      <c r="H34">
        <v>1</v>
      </c>
      <c r="I34">
        <v>1</v>
      </c>
      <c r="J34">
        <v>1</v>
      </c>
      <c r="K34">
        <v>0</v>
      </c>
      <c r="L34">
        <v>1</v>
      </c>
      <c r="M34">
        <v>1</v>
      </c>
      <c r="N34">
        <v>1</v>
      </c>
      <c r="O34">
        <v>1</v>
      </c>
      <c r="P34" t="s">
        <v>283</v>
      </c>
    </row>
    <row r="35" spans="1:16" x14ac:dyDescent="0.25">
      <c r="A35" t="s">
        <v>16</v>
      </c>
      <c r="B35" t="s">
        <v>64</v>
      </c>
      <c r="C35">
        <v>0</v>
      </c>
      <c r="D35">
        <v>10.23975539207458</v>
      </c>
      <c r="E35">
        <v>1</v>
      </c>
      <c r="F35">
        <v>1</v>
      </c>
      <c r="G35">
        <v>1</v>
      </c>
      <c r="H35">
        <v>1</v>
      </c>
      <c r="I35">
        <v>1</v>
      </c>
      <c r="J35">
        <v>1</v>
      </c>
      <c r="K35">
        <v>1</v>
      </c>
      <c r="L35">
        <v>1</v>
      </c>
      <c r="M35">
        <v>1</v>
      </c>
      <c r="N35">
        <v>1</v>
      </c>
      <c r="O35">
        <v>1</v>
      </c>
    </row>
    <row r="36" spans="1:16" x14ac:dyDescent="0.25">
      <c r="A36" t="s">
        <v>16</v>
      </c>
      <c r="B36" t="s">
        <v>66</v>
      </c>
      <c r="C36">
        <v>0</v>
      </c>
      <c r="D36">
        <v>8.1738200187683105</v>
      </c>
      <c r="E36">
        <v>1</v>
      </c>
      <c r="F36">
        <v>1</v>
      </c>
      <c r="G36">
        <v>1</v>
      </c>
      <c r="H36">
        <v>1</v>
      </c>
      <c r="I36">
        <v>1</v>
      </c>
      <c r="J36">
        <v>1</v>
      </c>
      <c r="K36">
        <v>0</v>
      </c>
      <c r="L36">
        <v>1</v>
      </c>
      <c r="M36">
        <v>1</v>
      </c>
      <c r="N36">
        <v>1</v>
      </c>
      <c r="O36">
        <v>1</v>
      </c>
      <c r="P36" t="s">
        <v>284</v>
      </c>
    </row>
    <row r="37" spans="1:16" x14ac:dyDescent="0.25">
      <c r="A37" t="s">
        <v>16</v>
      </c>
      <c r="B37" t="s">
        <v>67</v>
      </c>
      <c r="C37">
        <v>0</v>
      </c>
      <c r="D37">
        <v>11.61357259750366</v>
      </c>
      <c r="E37">
        <v>1</v>
      </c>
      <c r="F37">
        <v>1</v>
      </c>
      <c r="G37">
        <v>1</v>
      </c>
      <c r="H37">
        <v>1</v>
      </c>
      <c r="I37">
        <v>1</v>
      </c>
      <c r="J37">
        <v>1</v>
      </c>
      <c r="K37">
        <v>0</v>
      </c>
      <c r="L37">
        <v>1</v>
      </c>
      <c r="M37">
        <v>1</v>
      </c>
      <c r="N37">
        <v>1</v>
      </c>
      <c r="O37">
        <v>1</v>
      </c>
      <c r="P37" t="s">
        <v>285</v>
      </c>
    </row>
    <row r="38" spans="1:16" x14ac:dyDescent="0.25">
      <c r="A38" t="s">
        <v>16</v>
      </c>
      <c r="B38" t="s">
        <v>69</v>
      </c>
      <c r="C38">
        <v>0</v>
      </c>
      <c r="D38">
        <v>11.331115007400509</v>
      </c>
      <c r="E38">
        <v>1</v>
      </c>
      <c r="F38">
        <v>1</v>
      </c>
      <c r="G38">
        <v>1</v>
      </c>
      <c r="H38">
        <v>1</v>
      </c>
      <c r="I38">
        <v>1</v>
      </c>
      <c r="J38">
        <v>1</v>
      </c>
      <c r="K38">
        <v>1</v>
      </c>
      <c r="L38">
        <v>1</v>
      </c>
      <c r="M38">
        <v>1</v>
      </c>
      <c r="N38">
        <v>1</v>
      </c>
      <c r="O38">
        <v>1</v>
      </c>
    </row>
    <row r="39" spans="1:16" x14ac:dyDescent="0.25">
      <c r="A39" t="s">
        <v>16</v>
      </c>
      <c r="B39" t="s">
        <v>70</v>
      </c>
      <c r="C39">
        <v>0</v>
      </c>
      <c r="D39">
        <v>3.0335958003997798</v>
      </c>
      <c r="E39">
        <v>1</v>
      </c>
      <c r="F39">
        <v>1</v>
      </c>
      <c r="G39">
        <v>1</v>
      </c>
      <c r="H39">
        <v>1</v>
      </c>
      <c r="I39">
        <v>1</v>
      </c>
      <c r="J39">
        <v>1</v>
      </c>
      <c r="K39">
        <v>1</v>
      </c>
      <c r="L39">
        <v>1</v>
      </c>
      <c r="M39">
        <v>1</v>
      </c>
      <c r="N39">
        <v>1</v>
      </c>
      <c r="O39">
        <v>1</v>
      </c>
    </row>
    <row r="40" spans="1:16" x14ac:dyDescent="0.25">
      <c r="A40" t="s">
        <v>16</v>
      </c>
      <c r="B40" t="s">
        <v>71</v>
      </c>
      <c r="C40">
        <v>0</v>
      </c>
      <c r="D40">
        <v>13.6367073059082</v>
      </c>
      <c r="E40">
        <v>1</v>
      </c>
      <c r="F40">
        <v>1</v>
      </c>
      <c r="G40">
        <v>1</v>
      </c>
      <c r="H40">
        <v>1</v>
      </c>
      <c r="I40">
        <v>1</v>
      </c>
      <c r="J40">
        <v>1</v>
      </c>
      <c r="K40">
        <v>0</v>
      </c>
      <c r="L40">
        <v>1</v>
      </c>
      <c r="M40">
        <v>1</v>
      </c>
      <c r="N40">
        <v>1</v>
      </c>
      <c r="O40">
        <v>1</v>
      </c>
      <c r="P40" t="s">
        <v>286</v>
      </c>
    </row>
    <row r="41" spans="1:16" x14ac:dyDescent="0.25">
      <c r="A41" t="s">
        <v>16</v>
      </c>
      <c r="B41" t="s">
        <v>73</v>
      </c>
      <c r="C41">
        <v>0</v>
      </c>
      <c r="D41">
        <v>10.003046274185181</v>
      </c>
      <c r="E41">
        <v>0</v>
      </c>
      <c r="F41" t="s">
        <v>22</v>
      </c>
      <c r="G41" t="s">
        <v>22</v>
      </c>
      <c r="H41" t="s">
        <v>22</v>
      </c>
      <c r="I41" t="s">
        <v>22</v>
      </c>
      <c r="J41" t="s">
        <v>22</v>
      </c>
      <c r="K41" t="s">
        <v>22</v>
      </c>
      <c r="L41" t="s">
        <v>22</v>
      </c>
      <c r="M41" t="s">
        <v>22</v>
      </c>
      <c r="N41" t="s">
        <v>22</v>
      </c>
      <c r="O41" t="s">
        <v>22</v>
      </c>
      <c r="P41" t="s">
        <v>287</v>
      </c>
    </row>
    <row r="42" spans="1:16" x14ac:dyDescent="0.25">
      <c r="A42" t="s">
        <v>16</v>
      </c>
      <c r="B42" t="s">
        <v>75</v>
      </c>
      <c r="C42">
        <v>0</v>
      </c>
      <c r="D42">
        <v>9.9413979053497314</v>
      </c>
      <c r="E42">
        <v>1</v>
      </c>
      <c r="F42">
        <v>1</v>
      </c>
      <c r="G42">
        <v>1</v>
      </c>
      <c r="H42">
        <v>1</v>
      </c>
      <c r="I42">
        <v>1</v>
      </c>
      <c r="J42">
        <v>1</v>
      </c>
      <c r="K42">
        <v>1</v>
      </c>
      <c r="L42">
        <v>1</v>
      </c>
      <c r="M42">
        <v>1</v>
      </c>
      <c r="N42">
        <v>1</v>
      </c>
      <c r="O42">
        <v>1</v>
      </c>
    </row>
    <row r="43" spans="1:16" x14ac:dyDescent="0.25">
      <c r="A43" t="s">
        <v>16</v>
      </c>
      <c r="B43" t="s">
        <v>77</v>
      </c>
      <c r="C43">
        <v>0</v>
      </c>
      <c r="D43">
        <v>9.8289546966552734</v>
      </c>
      <c r="E43">
        <v>1</v>
      </c>
      <c r="F43">
        <v>1</v>
      </c>
      <c r="G43">
        <v>1</v>
      </c>
      <c r="H43">
        <v>1</v>
      </c>
      <c r="I43">
        <v>1</v>
      </c>
      <c r="J43">
        <v>1</v>
      </c>
      <c r="K43">
        <v>1</v>
      </c>
      <c r="L43">
        <v>1</v>
      </c>
      <c r="M43">
        <v>1</v>
      </c>
      <c r="N43">
        <v>1</v>
      </c>
      <c r="O43">
        <v>1</v>
      </c>
    </row>
    <row r="44" spans="1:16" x14ac:dyDescent="0.25">
      <c r="A44" t="s">
        <v>16</v>
      </c>
      <c r="B44" t="s">
        <v>79</v>
      </c>
      <c r="C44">
        <v>0</v>
      </c>
      <c r="D44">
        <v>10.738045215606689</v>
      </c>
      <c r="E44">
        <v>1</v>
      </c>
      <c r="F44">
        <v>1</v>
      </c>
      <c r="G44">
        <v>0</v>
      </c>
      <c r="H44" t="s">
        <v>22</v>
      </c>
      <c r="I44">
        <v>1</v>
      </c>
      <c r="J44">
        <v>1</v>
      </c>
      <c r="K44">
        <v>1</v>
      </c>
      <c r="L44">
        <v>1</v>
      </c>
      <c r="M44">
        <v>1</v>
      </c>
      <c r="N44">
        <v>1</v>
      </c>
      <c r="O44">
        <v>1</v>
      </c>
      <c r="P44" t="s">
        <v>288</v>
      </c>
    </row>
    <row r="45" spans="1:16" x14ac:dyDescent="0.25">
      <c r="A45" t="s">
        <v>16</v>
      </c>
      <c r="B45" t="s">
        <v>81</v>
      </c>
      <c r="C45">
        <v>0</v>
      </c>
      <c r="D45">
        <v>11.79540038108826</v>
      </c>
      <c r="E45">
        <v>1</v>
      </c>
      <c r="F45">
        <v>1</v>
      </c>
      <c r="G45">
        <v>1</v>
      </c>
      <c r="H45">
        <v>1</v>
      </c>
      <c r="I45">
        <v>1</v>
      </c>
      <c r="J45">
        <v>0</v>
      </c>
      <c r="K45">
        <v>1</v>
      </c>
      <c r="L45">
        <v>1</v>
      </c>
      <c r="M45">
        <v>1</v>
      </c>
      <c r="N45">
        <v>1</v>
      </c>
      <c r="O45">
        <v>1</v>
      </c>
      <c r="P45" t="s">
        <v>289</v>
      </c>
    </row>
    <row r="46" spans="1:16" x14ac:dyDescent="0.25">
      <c r="A46" t="s">
        <v>16</v>
      </c>
      <c r="B46" t="s">
        <v>83</v>
      </c>
      <c r="C46">
        <v>0</v>
      </c>
      <c r="D46">
        <v>9.3292932510375977</v>
      </c>
      <c r="E46">
        <v>1</v>
      </c>
      <c r="F46">
        <v>1</v>
      </c>
      <c r="G46">
        <v>1</v>
      </c>
      <c r="H46">
        <v>1</v>
      </c>
      <c r="I46">
        <v>1</v>
      </c>
      <c r="J46">
        <v>1</v>
      </c>
      <c r="K46">
        <v>1</v>
      </c>
      <c r="L46">
        <v>1</v>
      </c>
      <c r="M46">
        <v>1</v>
      </c>
      <c r="N46">
        <v>1</v>
      </c>
      <c r="O46">
        <v>1</v>
      </c>
    </row>
    <row r="47" spans="1:16" x14ac:dyDescent="0.25">
      <c r="A47" t="s">
        <v>16</v>
      </c>
      <c r="B47" t="s">
        <v>85</v>
      </c>
      <c r="C47">
        <v>0</v>
      </c>
      <c r="D47">
        <v>12.255929470062259</v>
      </c>
      <c r="E47">
        <v>1</v>
      </c>
      <c r="F47">
        <v>1</v>
      </c>
      <c r="G47">
        <v>0</v>
      </c>
      <c r="H47" t="s">
        <v>22</v>
      </c>
      <c r="I47">
        <v>1</v>
      </c>
      <c r="J47">
        <v>1</v>
      </c>
      <c r="K47">
        <v>1</v>
      </c>
      <c r="L47">
        <v>1</v>
      </c>
      <c r="M47">
        <v>1</v>
      </c>
      <c r="N47">
        <v>1</v>
      </c>
      <c r="O47">
        <v>1</v>
      </c>
      <c r="P47" t="s">
        <v>290</v>
      </c>
    </row>
    <row r="48" spans="1:16" x14ac:dyDescent="0.25">
      <c r="A48" t="s">
        <v>16</v>
      </c>
      <c r="B48" t="s">
        <v>87</v>
      </c>
      <c r="C48">
        <v>0</v>
      </c>
      <c r="D48">
        <v>15.777392625808719</v>
      </c>
      <c r="E48">
        <v>1</v>
      </c>
      <c r="F48">
        <v>1</v>
      </c>
      <c r="G48">
        <v>1</v>
      </c>
      <c r="H48">
        <v>1</v>
      </c>
      <c r="I48">
        <v>1</v>
      </c>
      <c r="J48">
        <v>0</v>
      </c>
      <c r="K48">
        <v>1</v>
      </c>
      <c r="L48">
        <v>1</v>
      </c>
      <c r="M48">
        <v>1</v>
      </c>
      <c r="N48">
        <v>1</v>
      </c>
      <c r="O48">
        <v>1</v>
      </c>
      <c r="P48" t="s">
        <v>291</v>
      </c>
    </row>
    <row r="49" spans="1:16" x14ac:dyDescent="0.25">
      <c r="A49" t="s">
        <v>16</v>
      </c>
      <c r="B49" t="s">
        <v>89</v>
      </c>
      <c r="C49">
        <v>0</v>
      </c>
      <c r="D49">
        <v>12.88282489776611</v>
      </c>
      <c r="E49">
        <v>1</v>
      </c>
      <c r="F49">
        <v>1</v>
      </c>
      <c r="G49">
        <v>1</v>
      </c>
      <c r="H49">
        <v>1</v>
      </c>
      <c r="I49">
        <v>1</v>
      </c>
      <c r="J49">
        <v>0</v>
      </c>
      <c r="K49">
        <v>0</v>
      </c>
      <c r="L49">
        <v>1</v>
      </c>
      <c r="M49">
        <v>1</v>
      </c>
      <c r="N49">
        <v>1</v>
      </c>
      <c r="O49">
        <v>1</v>
      </c>
      <c r="P49" t="s">
        <v>292</v>
      </c>
    </row>
    <row r="50" spans="1:16" x14ac:dyDescent="0.25">
      <c r="A50" t="s">
        <v>16</v>
      </c>
      <c r="B50" t="s">
        <v>90</v>
      </c>
      <c r="C50">
        <v>0</v>
      </c>
      <c r="D50">
        <v>5.1226911544799796</v>
      </c>
      <c r="E50">
        <v>1</v>
      </c>
      <c r="F50">
        <v>1</v>
      </c>
      <c r="G50">
        <v>1</v>
      </c>
      <c r="H50">
        <v>1</v>
      </c>
      <c r="I50">
        <v>1</v>
      </c>
      <c r="J50">
        <v>0</v>
      </c>
      <c r="K50">
        <v>1</v>
      </c>
      <c r="L50">
        <v>1</v>
      </c>
      <c r="M50">
        <v>1</v>
      </c>
      <c r="N50">
        <v>1</v>
      </c>
      <c r="O50">
        <v>1</v>
      </c>
      <c r="P50" t="s">
        <v>293</v>
      </c>
    </row>
    <row r="51" spans="1:16" x14ac:dyDescent="0.25">
      <c r="A51" t="s">
        <v>92</v>
      </c>
      <c r="B51" t="s">
        <v>17</v>
      </c>
      <c r="C51">
        <v>0</v>
      </c>
      <c r="D51">
        <v>4.9543864727020264</v>
      </c>
      <c r="E51">
        <v>1</v>
      </c>
      <c r="F51">
        <v>1</v>
      </c>
      <c r="G51">
        <v>1</v>
      </c>
      <c r="H51">
        <v>1</v>
      </c>
      <c r="I51">
        <v>1</v>
      </c>
      <c r="J51">
        <v>0</v>
      </c>
      <c r="K51">
        <v>1</v>
      </c>
      <c r="L51">
        <v>1</v>
      </c>
      <c r="M51">
        <v>1</v>
      </c>
      <c r="N51">
        <v>1</v>
      </c>
      <c r="O51">
        <v>1</v>
      </c>
      <c r="P51" t="s">
        <v>294</v>
      </c>
    </row>
    <row r="52" spans="1:16" x14ac:dyDescent="0.25">
      <c r="A52" t="s">
        <v>92</v>
      </c>
      <c r="B52" t="s">
        <v>19</v>
      </c>
      <c r="C52">
        <v>0</v>
      </c>
      <c r="D52">
        <v>11.037519931793209</v>
      </c>
      <c r="E52">
        <v>1</v>
      </c>
      <c r="F52">
        <v>1</v>
      </c>
      <c r="G52">
        <v>0</v>
      </c>
      <c r="H52" t="s">
        <v>22</v>
      </c>
      <c r="I52">
        <v>1</v>
      </c>
      <c r="J52">
        <v>1</v>
      </c>
      <c r="K52">
        <v>1</v>
      </c>
      <c r="L52">
        <v>1</v>
      </c>
      <c r="M52">
        <v>1</v>
      </c>
      <c r="N52">
        <v>1</v>
      </c>
      <c r="O52">
        <v>1</v>
      </c>
      <c r="P52" t="s">
        <v>295</v>
      </c>
    </row>
    <row r="53" spans="1:16" x14ac:dyDescent="0.25">
      <c r="A53" t="s">
        <v>92</v>
      </c>
      <c r="B53" t="s">
        <v>20</v>
      </c>
      <c r="C53">
        <v>0</v>
      </c>
      <c r="D53">
        <v>7.898996114730835</v>
      </c>
      <c r="E53">
        <v>1</v>
      </c>
      <c r="F53">
        <v>1</v>
      </c>
      <c r="G53">
        <v>1</v>
      </c>
      <c r="H53">
        <v>1</v>
      </c>
      <c r="I53">
        <v>1</v>
      </c>
      <c r="J53">
        <v>1</v>
      </c>
      <c r="K53">
        <v>1</v>
      </c>
      <c r="L53">
        <v>0</v>
      </c>
      <c r="M53">
        <v>1</v>
      </c>
      <c r="N53">
        <v>1</v>
      </c>
      <c r="O53">
        <v>1</v>
      </c>
      <c r="P53" t="s">
        <v>296</v>
      </c>
    </row>
    <row r="54" spans="1:16" x14ac:dyDescent="0.25">
      <c r="A54" t="s">
        <v>92</v>
      </c>
      <c r="B54" t="s">
        <v>21</v>
      </c>
      <c r="C54">
        <v>0</v>
      </c>
      <c r="D54">
        <v>2.9056580066680908</v>
      </c>
      <c r="E54">
        <v>1</v>
      </c>
      <c r="F54">
        <v>1</v>
      </c>
      <c r="G54">
        <v>1</v>
      </c>
      <c r="H54">
        <v>1</v>
      </c>
      <c r="I54">
        <v>1</v>
      </c>
      <c r="J54">
        <v>1</v>
      </c>
      <c r="K54">
        <v>1</v>
      </c>
      <c r="L54">
        <v>1</v>
      </c>
      <c r="M54">
        <v>1</v>
      </c>
      <c r="N54">
        <v>1</v>
      </c>
      <c r="O54">
        <v>1</v>
      </c>
    </row>
    <row r="55" spans="1:16" x14ac:dyDescent="0.25">
      <c r="A55" t="s">
        <v>92</v>
      </c>
      <c r="B55" t="s">
        <v>24</v>
      </c>
      <c r="C55">
        <v>0</v>
      </c>
      <c r="D55">
        <v>9.6623547077178955</v>
      </c>
      <c r="E55">
        <v>1</v>
      </c>
      <c r="F55">
        <v>1</v>
      </c>
      <c r="G55">
        <v>1</v>
      </c>
      <c r="H55">
        <v>1</v>
      </c>
      <c r="I55">
        <v>1</v>
      </c>
      <c r="J55">
        <v>1</v>
      </c>
      <c r="K55">
        <v>1</v>
      </c>
      <c r="L55">
        <v>1</v>
      </c>
      <c r="M55">
        <v>1</v>
      </c>
      <c r="N55">
        <v>1</v>
      </c>
      <c r="O55">
        <v>1</v>
      </c>
    </row>
    <row r="56" spans="1:16" x14ac:dyDescent="0.25">
      <c r="A56" t="s">
        <v>92</v>
      </c>
      <c r="B56" t="s">
        <v>25</v>
      </c>
      <c r="C56">
        <v>0</v>
      </c>
      <c r="D56">
        <v>11.177444458007811</v>
      </c>
      <c r="E56">
        <v>1</v>
      </c>
      <c r="F56">
        <v>1</v>
      </c>
      <c r="G56">
        <v>0</v>
      </c>
      <c r="H56" t="s">
        <v>22</v>
      </c>
      <c r="I56">
        <v>1</v>
      </c>
      <c r="J56">
        <v>1</v>
      </c>
      <c r="K56">
        <v>1</v>
      </c>
      <c r="L56">
        <v>1</v>
      </c>
      <c r="M56">
        <v>1</v>
      </c>
      <c r="N56">
        <v>1</v>
      </c>
      <c r="O56">
        <v>1</v>
      </c>
      <c r="P56" t="s">
        <v>297</v>
      </c>
    </row>
    <row r="57" spans="1:16" x14ac:dyDescent="0.25">
      <c r="A57" t="s">
        <v>92</v>
      </c>
      <c r="B57" t="s">
        <v>26</v>
      </c>
      <c r="C57">
        <v>0</v>
      </c>
      <c r="D57">
        <v>2.831615686416626</v>
      </c>
      <c r="E57">
        <v>1</v>
      </c>
      <c r="F57">
        <v>1</v>
      </c>
      <c r="G57">
        <v>1</v>
      </c>
      <c r="H57">
        <v>1</v>
      </c>
      <c r="I57">
        <v>1</v>
      </c>
      <c r="J57">
        <v>1</v>
      </c>
      <c r="K57">
        <v>1</v>
      </c>
      <c r="L57">
        <v>1</v>
      </c>
      <c r="M57">
        <v>1</v>
      </c>
      <c r="N57">
        <v>1</v>
      </c>
      <c r="O57">
        <v>1</v>
      </c>
    </row>
    <row r="58" spans="1:16" x14ac:dyDescent="0.25">
      <c r="A58" t="s">
        <v>92</v>
      </c>
      <c r="B58" t="s">
        <v>27</v>
      </c>
      <c r="C58">
        <v>0</v>
      </c>
      <c r="D58">
        <v>12.1239960193634</v>
      </c>
      <c r="E58">
        <v>1</v>
      </c>
      <c r="F58">
        <v>1</v>
      </c>
      <c r="G58">
        <v>1</v>
      </c>
      <c r="H58">
        <v>1</v>
      </c>
      <c r="I58">
        <v>1</v>
      </c>
      <c r="J58">
        <v>0</v>
      </c>
      <c r="K58">
        <v>1</v>
      </c>
      <c r="L58">
        <v>1</v>
      </c>
      <c r="M58">
        <v>1</v>
      </c>
      <c r="N58">
        <v>1</v>
      </c>
      <c r="O58">
        <v>1</v>
      </c>
      <c r="P58" t="s">
        <v>298</v>
      </c>
    </row>
    <row r="59" spans="1:16" x14ac:dyDescent="0.25">
      <c r="A59" t="s">
        <v>92</v>
      </c>
      <c r="B59" t="s">
        <v>28</v>
      </c>
      <c r="C59">
        <v>0</v>
      </c>
      <c r="D59">
        <v>11.329368114471441</v>
      </c>
      <c r="E59">
        <v>1</v>
      </c>
      <c r="F59">
        <v>1</v>
      </c>
      <c r="G59">
        <v>1</v>
      </c>
      <c r="H59">
        <v>1</v>
      </c>
      <c r="I59">
        <v>1</v>
      </c>
      <c r="J59">
        <v>1</v>
      </c>
      <c r="K59">
        <v>1</v>
      </c>
      <c r="L59">
        <v>1</v>
      </c>
      <c r="M59">
        <v>1</v>
      </c>
      <c r="N59">
        <v>1</v>
      </c>
      <c r="O59">
        <v>1</v>
      </c>
    </row>
    <row r="60" spans="1:16" x14ac:dyDescent="0.25">
      <c r="A60" t="s">
        <v>92</v>
      </c>
      <c r="B60" t="s">
        <v>29</v>
      </c>
      <c r="C60">
        <v>0</v>
      </c>
      <c r="D60">
        <v>5.906590461730957</v>
      </c>
      <c r="E60">
        <v>0</v>
      </c>
      <c r="F60" t="s">
        <v>22</v>
      </c>
      <c r="G60" t="s">
        <v>22</v>
      </c>
      <c r="H60" t="s">
        <v>22</v>
      </c>
      <c r="I60" t="s">
        <v>22</v>
      </c>
      <c r="J60" t="s">
        <v>22</v>
      </c>
      <c r="K60" t="s">
        <v>22</v>
      </c>
      <c r="L60" t="s">
        <v>22</v>
      </c>
      <c r="M60" t="s">
        <v>22</v>
      </c>
      <c r="N60" t="s">
        <v>22</v>
      </c>
      <c r="O60" t="s">
        <v>22</v>
      </c>
      <c r="P60" t="s">
        <v>299</v>
      </c>
    </row>
    <row r="61" spans="1:16" x14ac:dyDescent="0.25">
      <c r="A61" t="s">
        <v>92</v>
      </c>
      <c r="B61" t="s">
        <v>30</v>
      </c>
      <c r="C61">
        <v>0</v>
      </c>
      <c r="D61">
        <v>11.071686983108521</v>
      </c>
      <c r="E61">
        <v>1</v>
      </c>
      <c r="F61">
        <v>1</v>
      </c>
      <c r="G61">
        <v>1</v>
      </c>
      <c r="H61">
        <v>1</v>
      </c>
      <c r="I61">
        <v>1</v>
      </c>
      <c r="J61">
        <v>1</v>
      </c>
      <c r="K61">
        <v>1</v>
      </c>
      <c r="L61">
        <v>1</v>
      </c>
      <c r="M61">
        <v>1</v>
      </c>
      <c r="N61">
        <v>1</v>
      </c>
      <c r="O61">
        <v>1</v>
      </c>
    </row>
    <row r="62" spans="1:16" x14ac:dyDescent="0.25">
      <c r="A62" t="s">
        <v>92</v>
      </c>
      <c r="B62" t="s">
        <v>32</v>
      </c>
      <c r="C62">
        <v>0</v>
      </c>
      <c r="D62">
        <v>2.9747860431671138</v>
      </c>
      <c r="E62">
        <v>1</v>
      </c>
      <c r="F62">
        <v>1</v>
      </c>
      <c r="G62">
        <v>1</v>
      </c>
      <c r="H62">
        <v>1</v>
      </c>
      <c r="I62">
        <v>1</v>
      </c>
      <c r="J62">
        <v>1</v>
      </c>
      <c r="K62">
        <v>1</v>
      </c>
      <c r="L62">
        <v>1</v>
      </c>
      <c r="M62">
        <v>1</v>
      </c>
      <c r="N62">
        <v>1</v>
      </c>
      <c r="O62">
        <v>1</v>
      </c>
    </row>
    <row r="63" spans="1:16" x14ac:dyDescent="0.25">
      <c r="A63" t="s">
        <v>92</v>
      </c>
      <c r="B63" t="s">
        <v>33</v>
      </c>
      <c r="C63">
        <v>0</v>
      </c>
      <c r="D63">
        <v>2.83894944190979</v>
      </c>
      <c r="E63">
        <v>1</v>
      </c>
      <c r="F63">
        <v>1</v>
      </c>
      <c r="G63">
        <v>1</v>
      </c>
      <c r="H63">
        <v>1</v>
      </c>
      <c r="I63">
        <v>1</v>
      </c>
      <c r="J63">
        <v>1</v>
      </c>
      <c r="K63">
        <v>1</v>
      </c>
      <c r="L63">
        <v>1</v>
      </c>
      <c r="M63">
        <v>1</v>
      </c>
      <c r="N63">
        <v>1</v>
      </c>
      <c r="O63">
        <v>1</v>
      </c>
    </row>
    <row r="64" spans="1:16" x14ac:dyDescent="0.25">
      <c r="A64" t="s">
        <v>92</v>
      </c>
      <c r="B64" t="s">
        <v>35</v>
      </c>
      <c r="C64">
        <v>0</v>
      </c>
      <c r="D64">
        <v>6.6982429027557373</v>
      </c>
      <c r="E64">
        <v>1</v>
      </c>
      <c r="F64">
        <v>1</v>
      </c>
      <c r="G64">
        <v>0</v>
      </c>
      <c r="H64" t="s">
        <v>22</v>
      </c>
      <c r="I64">
        <v>1</v>
      </c>
      <c r="J64">
        <v>1</v>
      </c>
      <c r="K64">
        <v>1</v>
      </c>
      <c r="L64">
        <v>1</v>
      </c>
      <c r="M64">
        <v>1</v>
      </c>
      <c r="N64">
        <v>1</v>
      </c>
      <c r="O64">
        <v>1</v>
      </c>
      <c r="P64" t="s">
        <v>300</v>
      </c>
    </row>
    <row r="65" spans="1:16" x14ac:dyDescent="0.25">
      <c r="A65" t="s">
        <v>92</v>
      </c>
      <c r="B65" t="s">
        <v>36</v>
      </c>
      <c r="C65">
        <v>0</v>
      </c>
      <c r="D65">
        <v>5.3200893402099609</v>
      </c>
      <c r="E65">
        <v>1</v>
      </c>
      <c r="F65">
        <v>0</v>
      </c>
      <c r="G65">
        <v>1</v>
      </c>
      <c r="H65" t="s">
        <v>22</v>
      </c>
      <c r="I65">
        <v>1</v>
      </c>
      <c r="J65" t="s">
        <v>22</v>
      </c>
      <c r="K65">
        <v>1</v>
      </c>
      <c r="L65">
        <v>1</v>
      </c>
      <c r="M65">
        <v>1</v>
      </c>
      <c r="N65">
        <v>1</v>
      </c>
      <c r="O65">
        <v>1</v>
      </c>
      <c r="P65" t="s">
        <v>301</v>
      </c>
    </row>
    <row r="66" spans="1:16" x14ac:dyDescent="0.25">
      <c r="A66" t="s">
        <v>92</v>
      </c>
      <c r="B66" t="s">
        <v>38</v>
      </c>
      <c r="C66">
        <v>0</v>
      </c>
      <c r="D66">
        <v>9.0069944858551025</v>
      </c>
      <c r="E66">
        <v>1</v>
      </c>
      <c r="F66">
        <v>1</v>
      </c>
      <c r="G66">
        <v>1</v>
      </c>
      <c r="H66">
        <v>1</v>
      </c>
      <c r="I66">
        <v>1</v>
      </c>
      <c r="J66">
        <v>1</v>
      </c>
      <c r="K66">
        <v>1</v>
      </c>
      <c r="L66">
        <v>1</v>
      </c>
      <c r="M66">
        <v>1</v>
      </c>
      <c r="N66">
        <v>1</v>
      </c>
      <c r="O66">
        <v>1</v>
      </c>
    </row>
    <row r="67" spans="1:16" x14ac:dyDescent="0.25">
      <c r="A67" t="s">
        <v>92</v>
      </c>
      <c r="B67" t="s">
        <v>39</v>
      </c>
      <c r="C67">
        <v>0</v>
      </c>
      <c r="D67">
        <v>9.7138566970825195</v>
      </c>
      <c r="E67">
        <v>1</v>
      </c>
      <c r="F67">
        <v>1</v>
      </c>
      <c r="G67">
        <v>1</v>
      </c>
      <c r="H67">
        <v>1</v>
      </c>
      <c r="I67">
        <v>1</v>
      </c>
      <c r="J67">
        <v>1</v>
      </c>
      <c r="K67">
        <v>1</v>
      </c>
      <c r="L67">
        <v>1</v>
      </c>
      <c r="M67">
        <v>1</v>
      </c>
      <c r="N67">
        <v>1</v>
      </c>
      <c r="O67">
        <v>1</v>
      </c>
    </row>
    <row r="68" spans="1:16" x14ac:dyDescent="0.25">
      <c r="A68" t="s">
        <v>92</v>
      </c>
      <c r="B68" t="s">
        <v>40</v>
      </c>
      <c r="C68">
        <v>0</v>
      </c>
      <c r="D68">
        <v>12.053573608398439</v>
      </c>
      <c r="E68">
        <v>1</v>
      </c>
      <c r="F68">
        <v>1</v>
      </c>
      <c r="G68">
        <v>0</v>
      </c>
      <c r="H68" t="s">
        <v>22</v>
      </c>
      <c r="I68">
        <v>1</v>
      </c>
      <c r="J68">
        <v>1</v>
      </c>
      <c r="K68">
        <v>1</v>
      </c>
      <c r="L68">
        <v>1</v>
      </c>
      <c r="M68">
        <v>0</v>
      </c>
      <c r="N68">
        <v>1</v>
      </c>
      <c r="O68">
        <v>1</v>
      </c>
      <c r="P68" t="s">
        <v>302</v>
      </c>
    </row>
    <row r="69" spans="1:16" x14ac:dyDescent="0.25">
      <c r="A69" t="s">
        <v>92</v>
      </c>
      <c r="B69" t="s">
        <v>41</v>
      </c>
      <c r="C69">
        <v>0</v>
      </c>
      <c r="D69">
        <v>10.400388717651371</v>
      </c>
      <c r="E69">
        <v>1</v>
      </c>
      <c r="F69">
        <v>1</v>
      </c>
      <c r="G69">
        <v>1</v>
      </c>
      <c r="H69">
        <v>1</v>
      </c>
      <c r="I69">
        <v>1</v>
      </c>
      <c r="J69">
        <v>1</v>
      </c>
      <c r="K69">
        <v>1</v>
      </c>
      <c r="L69">
        <v>1</v>
      </c>
      <c r="M69">
        <v>1</v>
      </c>
      <c r="N69">
        <v>1</v>
      </c>
      <c r="O69">
        <v>1</v>
      </c>
    </row>
    <row r="70" spans="1:16" x14ac:dyDescent="0.25">
      <c r="A70" t="s">
        <v>92</v>
      </c>
      <c r="B70" t="s">
        <v>43</v>
      </c>
      <c r="C70">
        <v>0</v>
      </c>
      <c r="D70">
        <v>9.0850889682769775</v>
      </c>
      <c r="E70">
        <v>1</v>
      </c>
      <c r="F70">
        <v>1</v>
      </c>
      <c r="G70">
        <v>1</v>
      </c>
      <c r="H70">
        <v>1</v>
      </c>
      <c r="I70">
        <v>1</v>
      </c>
      <c r="J70">
        <v>1</v>
      </c>
      <c r="K70">
        <v>1</v>
      </c>
      <c r="L70">
        <v>1</v>
      </c>
      <c r="M70">
        <v>1</v>
      </c>
      <c r="N70">
        <v>1</v>
      </c>
      <c r="O70">
        <v>1</v>
      </c>
    </row>
    <row r="71" spans="1:16" x14ac:dyDescent="0.25">
      <c r="A71" t="s">
        <v>92</v>
      </c>
      <c r="B71" t="s">
        <v>44</v>
      </c>
      <c r="C71">
        <v>0</v>
      </c>
      <c r="D71">
        <v>10.55665230751038</v>
      </c>
      <c r="E71">
        <v>1</v>
      </c>
      <c r="F71">
        <v>1</v>
      </c>
      <c r="G71">
        <v>1</v>
      </c>
      <c r="H71">
        <v>1</v>
      </c>
      <c r="I71">
        <v>1</v>
      </c>
      <c r="J71">
        <v>1</v>
      </c>
      <c r="K71">
        <v>1</v>
      </c>
      <c r="L71">
        <v>1</v>
      </c>
      <c r="M71">
        <v>1</v>
      </c>
      <c r="N71">
        <v>1</v>
      </c>
      <c r="O71">
        <v>1</v>
      </c>
    </row>
    <row r="72" spans="1:16" x14ac:dyDescent="0.25">
      <c r="A72" t="s">
        <v>92</v>
      </c>
      <c r="B72" t="s">
        <v>45</v>
      </c>
      <c r="C72">
        <v>0</v>
      </c>
      <c r="D72">
        <v>10.70173120498657</v>
      </c>
      <c r="E72">
        <v>1</v>
      </c>
      <c r="F72">
        <v>1</v>
      </c>
      <c r="G72">
        <v>1</v>
      </c>
      <c r="H72">
        <v>1</v>
      </c>
      <c r="I72">
        <v>1</v>
      </c>
      <c r="J72">
        <v>1</v>
      </c>
      <c r="K72">
        <v>1</v>
      </c>
      <c r="L72">
        <v>1</v>
      </c>
      <c r="M72">
        <v>1</v>
      </c>
      <c r="N72">
        <v>1</v>
      </c>
      <c r="O72">
        <v>1</v>
      </c>
    </row>
    <row r="73" spans="1:16" x14ac:dyDescent="0.25">
      <c r="A73" t="s">
        <v>92</v>
      </c>
      <c r="B73" t="s">
        <v>46</v>
      </c>
      <c r="C73">
        <v>0</v>
      </c>
      <c r="D73">
        <v>10.95344257354736</v>
      </c>
      <c r="E73">
        <v>1</v>
      </c>
      <c r="F73">
        <v>1</v>
      </c>
      <c r="G73">
        <v>1</v>
      </c>
      <c r="H73">
        <v>1</v>
      </c>
      <c r="I73">
        <v>1</v>
      </c>
      <c r="J73">
        <v>1</v>
      </c>
      <c r="K73">
        <v>1</v>
      </c>
      <c r="L73">
        <v>1</v>
      </c>
      <c r="M73">
        <v>1</v>
      </c>
      <c r="N73">
        <v>1</v>
      </c>
      <c r="O73">
        <v>1</v>
      </c>
    </row>
    <row r="74" spans="1:16" x14ac:dyDescent="0.25">
      <c r="A74" t="s">
        <v>92</v>
      </c>
      <c r="B74" t="s">
        <v>47</v>
      </c>
      <c r="C74">
        <v>0</v>
      </c>
      <c r="D74">
        <v>2.8537571430206299</v>
      </c>
      <c r="E74">
        <v>1</v>
      </c>
      <c r="F74">
        <v>1</v>
      </c>
      <c r="G74">
        <v>1</v>
      </c>
      <c r="H74">
        <v>1</v>
      </c>
      <c r="I74">
        <v>1</v>
      </c>
      <c r="J74">
        <v>1</v>
      </c>
      <c r="K74">
        <v>1</v>
      </c>
      <c r="L74">
        <v>1</v>
      </c>
      <c r="M74">
        <v>1</v>
      </c>
      <c r="N74">
        <v>1</v>
      </c>
      <c r="O74">
        <v>1</v>
      </c>
    </row>
    <row r="75" spans="1:16" x14ac:dyDescent="0.25">
      <c r="A75" t="s">
        <v>92</v>
      </c>
      <c r="B75" t="s">
        <v>48</v>
      </c>
      <c r="C75">
        <v>0</v>
      </c>
      <c r="D75">
        <v>11.97183728218079</v>
      </c>
      <c r="E75">
        <v>1</v>
      </c>
      <c r="F75">
        <v>1</v>
      </c>
      <c r="G75">
        <v>0</v>
      </c>
      <c r="H75" t="s">
        <v>22</v>
      </c>
      <c r="I75">
        <v>1</v>
      </c>
      <c r="J75">
        <v>1</v>
      </c>
      <c r="K75">
        <v>1</v>
      </c>
      <c r="L75">
        <v>1</v>
      </c>
      <c r="M75">
        <v>1</v>
      </c>
      <c r="N75">
        <v>1</v>
      </c>
      <c r="O75">
        <v>1</v>
      </c>
      <c r="P75" t="s">
        <v>303</v>
      </c>
    </row>
    <row r="76" spans="1:16" x14ac:dyDescent="0.25">
      <c r="A76" t="s">
        <v>92</v>
      </c>
      <c r="B76" t="s">
        <v>49</v>
      </c>
      <c r="C76">
        <v>0</v>
      </c>
      <c r="D76">
        <v>10.335236310958861</v>
      </c>
      <c r="E76">
        <v>1</v>
      </c>
      <c r="F76">
        <v>1</v>
      </c>
      <c r="G76">
        <v>1</v>
      </c>
      <c r="H76">
        <v>1</v>
      </c>
      <c r="I76">
        <v>1</v>
      </c>
      <c r="J76">
        <v>1</v>
      </c>
      <c r="K76">
        <v>1</v>
      </c>
      <c r="L76">
        <v>1</v>
      </c>
      <c r="M76">
        <v>1</v>
      </c>
      <c r="N76">
        <v>1</v>
      </c>
      <c r="O76">
        <v>1</v>
      </c>
    </row>
    <row r="77" spans="1:16" x14ac:dyDescent="0.25">
      <c r="A77" t="s">
        <v>92</v>
      </c>
      <c r="B77" t="s">
        <v>51</v>
      </c>
      <c r="C77">
        <v>0</v>
      </c>
      <c r="D77">
        <v>4.7701923847198486</v>
      </c>
      <c r="E77">
        <v>1</v>
      </c>
      <c r="F77">
        <v>0</v>
      </c>
      <c r="G77">
        <v>1</v>
      </c>
      <c r="H77" t="s">
        <v>22</v>
      </c>
      <c r="I77">
        <v>1</v>
      </c>
      <c r="J77" t="s">
        <v>22</v>
      </c>
      <c r="K77">
        <v>1</v>
      </c>
      <c r="L77">
        <v>1</v>
      </c>
      <c r="M77">
        <v>1</v>
      </c>
      <c r="N77">
        <v>1</v>
      </c>
      <c r="O77">
        <v>1</v>
      </c>
      <c r="P77" t="s">
        <v>304</v>
      </c>
    </row>
    <row r="78" spans="1:16" x14ac:dyDescent="0.25">
      <c r="A78" t="s">
        <v>92</v>
      </c>
      <c r="B78" t="s">
        <v>53</v>
      </c>
      <c r="C78">
        <v>0</v>
      </c>
      <c r="D78">
        <v>4.3326930999755859</v>
      </c>
      <c r="E78">
        <v>1</v>
      </c>
      <c r="F78">
        <v>0</v>
      </c>
      <c r="G78">
        <v>1</v>
      </c>
      <c r="H78" t="s">
        <v>22</v>
      </c>
      <c r="I78">
        <v>1</v>
      </c>
      <c r="J78" t="s">
        <v>22</v>
      </c>
      <c r="K78">
        <v>1</v>
      </c>
      <c r="L78">
        <v>1</v>
      </c>
      <c r="M78">
        <v>1</v>
      </c>
      <c r="N78">
        <v>1</v>
      </c>
      <c r="O78">
        <v>1</v>
      </c>
      <c r="P78" t="s">
        <v>305</v>
      </c>
    </row>
    <row r="79" spans="1:16" x14ac:dyDescent="0.25">
      <c r="A79" t="s">
        <v>92</v>
      </c>
      <c r="B79" t="s">
        <v>54</v>
      </c>
      <c r="C79">
        <v>0</v>
      </c>
      <c r="D79">
        <v>9.8836655616760254</v>
      </c>
      <c r="E79">
        <v>1</v>
      </c>
      <c r="F79">
        <v>1</v>
      </c>
      <c r="G79">
        <v>1</v>
      </c>
      <c r="H79">
        <v>1</v>
      </c>
      <c r="I79">
        <v>1</v>
      </c>
      <c r="J79">
        <v>1</v>
      </c>
      <c r="K79">
        <v>1</v>
      </c>
      <c r="L79">
        <v>1</v>
      </c>
      <c r="M79">
        <v>1</v>
      </c>
      <c r="N79">
        <v>1</v>
      </c>
      <c r="O79">
        <v>1</v>
      </c>
    </row>
    <row r="80" spans="1:16" x14ac:dyDescent="0.25">
      <c r="A80" t="s">
        <v>92</v>
      </c>
      <c r="B80" t="s">
        <v>56</v>
      </c>
      <c r="C80">
        <v>0</v>
      </c>
      <c r="D80">
        <v>10.33083653450012</v>
      </c>
      <c r="E80">
        <v>1</v>
      </c>
      <c r="F80">
        <v>1</v>
      </c>
      <c r="G80">
        <v>1</v>
      </c>
      <c r="H80">
        <v>1</v>
      </c>
      <c r="I80">
        <v>1</v>
      </c>
      <c r="J80">
        <v>1</v>
      </c>
      <c r="K80">
        <v>1</v>
      </c>
      <c r="L80">
        <v>1</v>
      </c>
      <c r="M80">
        <v>1</v>
      </c>
      <c r="N80">
        <v>1</v>
      </c>
      <c r="O80">
        <v>1</v>
      </c>
    </row>
    <row r="81" spans="1:16" x14ac:dyDescent="0.25">
      <c r="A81" t="s">
        <v>92</v>
      </c>
      <c r="B81" t="s">
        <v>58</v>
      </c>
      <c r="C81">
        <v>0</v>
      </c>
      <c r="D81">
        <v>12.004746675491329</v>
      </c>
      <c r="E81">
        <v>1</v>
      </c>
      <c r="F81">
        <v>1</v>
      </c>
      <c r="G81">
        <v>0</v>
      </c>
      <c r="H81" t="s">
        <v>22</v>
      </c>
      <c r="I81">
        <v>1</v>
      </c>
      <c r="J81">
        <v>1</v>
      </c>
      <c r="K81">
        <v>0</v>
      </c>
      <c r="L81">
        <v>1</v>
      </c>
      <c r="M81">
        <v>1</v>
      </c>
      <c r="N81">
        <v>1</v>
      </c>
      <c r="O81">
        <v>1</v>
      </c>
      <c r="P81" t="s">
        <v>306</v>
      </c>
    </row>
    <row r="82" spans="1:16" x14ac:dyDescent="0.25">
      <c r="A82" t="s">
        <v>92</v>
      </c>
      <c r="B82" t="s">
        <v>60</v>
      </c>
      <c r="C82">
        <v>0</v>
      </c>
      <c r="D82">
        <v>11.35596871376038</v>
      </c>
      <c r="E82">
        <v>1</v>
      </c>
      <c r="F82">
        <v>1</v>
      </c>
      <c r="G82">
        <v>0</v>
      </c>
      <c r="H82" t="s">
        <v>22</v>
      </c>
      <c r="I82">
        <v>1</v>
      </c>
      <c r="J82">
        <v>1</v>
      </c>
      <c r="K82">
        <v>1</v>
      </c>
      <c r="L82">
        <v>1</v>
      </c>
      <c r="M82">
        <v>1</v>
      </c>
      <c r="N82">
        <v>1</v>
      </c>
      <c r="O82">
        <v>1</v>
      </c>
      <c r="P82" t="s">
        <v>307</v>
      </c>
    </row>
    <row r="83" spans="1:16" x14ac:dyDescent="0.25">
      <c r="A83" t="s">
        <v>92</v>
      </c>
      <c r="B83" t="s">
        <v>62</v>
      </c>
      <c r="C83">
        <v>0</v>
      </c>
      <c r="D83">
        <v>8.9900047779083252</v>
      </c>
      <c r="E83">
        <v>1</v>
      </c>
      <c r="F83">
        <v>1</v>
      </c>
      <c r="G83">
        <v>1</v>
      </c>
      <c r="H83">
        <v>1</v>
      </c>
      <c r="I83">
        <v>1</v>
      </c>
      <c r="J83">
        <v>1</v>
      </c>
      <c r="K83">
        <v>1</v>
      </c>
      <c r="L83">
        <v>1</v>
      </c>
      <c r="M83">
        <v>1</v>
      </c>
      <c r="N83">
        <v>1</v>
      </c>
      <c r="O83">
        <v>1</v>
      </c>
    </row>
    <row r="84" spans="1:16" x14ac:dyDescent="0.25">
      <c r="A84" t="s">
        <v>92</v>
      </c>
      <c r="B84" t="s">
        <v>64</v>
      </c>
      <c r="C84">
        <v>0</v>
      </c>
      <c r="D84">
        <v>7.551405668258667</v>
      </c>
      <c r="E84">
        <v>0</v>
      </c>
      <c r="F84" t="s">
        <v>22</v>
      </c>
      <c r="G84" t="s">
        <v>22</v>
      </c>
      <c r="H84" t="s">
        <v>22</v>
      </c>
      <c r="I84" t="s">
        <v>22</v>
      </c>
      <c r="J84" t="s">
        <v>22</v>
      </c>
      <c r="K84" t="s">
        <v>22</v>
      </c>
      <c r="L84" t="s">
        <v>22</v>
      </c>
      <c r="M84" t="s">
        <v>22</v>
      </c>
      <c r="N84" t="s">
        <v>22</v>
      </c>
      <c r="O84" t="s">
        <v>22</v>
      </c>
      <c r="P84" t="s">
        <v>308</v>
      </c>
    </row>
    <row r="85" spans="1:16" x14ac:dyDescent="0.25">
      <c r="A85" t="s">
        <v>92</v>
      </c>
      <c r="B85" t="s">
        <v>66</v>
      </c>
      <c r="C85">
        <v>0</v>
      </c>
      <c r="D85">
        <v>11.763000726699831</v>
      </c>
      <c r="E85">
        <v>1</v>
      </c>
      <c r="F85">
        <v>1</v>
      </c>
      <c r="G85">
        <v>0</v>
      </c>
      <c r="H85" t="s">
        <v>22</v>
      </c>
      <c r="I85">
        <v>1</v>
      </c>
      <c r="J85">
        <v>1</v>
      </c>
      <c r="K85">
        <v>1</v>
      </c>
      <c r="L85">
        <v>1</v>
      </c>
      <c r="M85">
        <v>1</v>
      </c>
      <c r="N85">
        <v>1</v>
      </c>
      <c r="O85">
        <v>1</v>
      </c>
      <c r="P85" t="s">
        <v>309</v>
      </c>
    </row>
    <row r="86" spans="1:16" x14ac:dyDescent="0.25">
      <c r="A86" t="s">
        <v>92</v>
      </c>
      <c r="B86" t="s">
        <v>67</v>
      </c>
      <c r="C86">
        <v>0</v>
      </c>
      <c r="D86">
        <v>10.468932390213009</v>
      </c>
      <c r="E86">
        <v>1</v>
      </c>
      <c r="F86">
        <v>1</v>
      </c>
      <c r="G86">
        <v>1</v>
      </c>
      <c r="H86">
        <v>1</v>
      </c>
      <c r="I86">
        <v>1</v>
      </c>
      <c r="J86">
        <v>1</v>
      </c>
      <c r="K86">
        <v>1</v>
      </c>
      <c r="L86">
        <v>1</v>
      </c>
      <c r="M86">
        <v>1</v>
      </c>
      <c r="N86">
        <v>1</v>
      </c>
      <c r="O86">
        <v>1</v>
      </c>
    </row>
    <row r="87" spans="1:16" x14ac:dyDescent="0.25">
      <c r="A87" t="s">
        <v>92</v>
      </c>
      <c r="B87" t="s">
        <v>69</v>
      </c>
      <c r="C87">
        <v>0</v>
      </c>
      <c r="D87">
        <v>7.769911527633667</v>
      </c>
      <c r="E87">
        <v>0</v>
      </c>
      <c r="F87" t="s">
        <v>22</v>
      </c>
      <c r="G87" t="s">
        <v>22</v>
      </c>
      <c r="H87" t="s">
        <v>22</v>
      </c>
      <c r="I87" t="s">
        <v>22</v>
      </c>
      <c r="J87" t="s">
        <v>22</v>
      </c>
      <c r="K87" t="s">
        <v>22</v>
      </c>
      <c r="L87" t="s">
        <v>22</v>
      </c>
      <c r="M87" t="s">
        <v>22</v>
      </c>
      <c r="N87" t="s">
        <v>22</v>
      </c>
      <c r="O87" t="s">
        <v>22</v>
      </c>
      <c r="P87" t="s">
        <v>310</v>
      </c>
    </row>
    <row r="88" spans="1:16" x14ac:dyDescent="0.25">
      <c r="A88" t="s">
        <v>92</v>
      </c>
      <c r="B88" t="s">
        <v>70</v>
      </c>
      <c r="C88">
        <v>0</v>
      </c>
      <c r="D88">
        <v>11.253231048583981</v>
      </c>
      <c r="E88">
        <v>1</v>
      </c>
      <c r="F88">
        <v>1</v>
      </c>
      <c r="G88">
        <v>1</v>
      </c>
      <c r="H88">
        <v>0</v>
      </c>
      <c r="I88">
        <v>1</v>
      </c>
      <c r="J88">
        <v>1</v>
      </c>
      <c r="K88">
        <v>1</v>
      </c>
      <c r="L88">
        <v>1</v>
      </c>
      <c r="M88">
        <v>1</v>
      </c>
      <c r="N88">
        <v>1</v>
      </c>
      <c r="O88">
        <v>1</v>
      </c>
      <c r="P88" t="s">
        <v>311</v>
      </c>
    </row>
    <row r="89" spans="1:16" x14ac:dyDescent="0.25">
      <c r="A89" t="s">
        <v>92</v>
      </c>
      <c r="B89" t="s">
        <v>71</v>
      </c>
      <c r="C89">
        <v>0</v>
      </c>
      <c r="D89">
        <v>10.24055600166321</v>
      </c>
      <c r="E89">
        <v>1</v>
      </c>
      <c r="F89">
        <v>1</v>
      </c>
      <c r="G89">
        <v>1</v>
      </c>
      <c r="H89">
        <v>1</v>
      </c>
      <c r="I89">
        <v>1</v>
      </c>
      <c r="J89">
        <v>1</v>
      </c>
      <c r="K89">
        <v>1</v>
      </c>
      <c r="L89">
        <v>1</v>
      </c>
      <c r="M89">
        <v>1</v>
      </c>
      <c r="N89">
        <v>1</v>
      </c>
      <c r="O89">
        <v>1</v>
      </c>
    </row>
    <row r="90" spans="1:16" x14ac:dyDescent="0.25">
      <c r="A90" t="s">
        <v>92</v>
      </c>
      <c r="B90" t="s">
        <v>73</v>
      </c>
      <c r="C90">
        <v>0</v>
      </c>
      <c r="D90">
        <v>3.0367889404296879</v>
      </c>
      <c r="E90">
        <v>1</v>
      </c>
      <c r="F90">
        <v>1</v>
      </c>
      <c r="G90">
        <v>1</v>
      </c>
      <c r="H90">
        <v>1</v>
      </c>
      <c r="I90">
        <v>1</v>
      </c>
      <c r="J90">
        <v>1</v>
      </c>
      <c r="K90">
        <v>1</v>
      </c>
      <c r="L90">
        <v>1</v>
      </c>
      <c r="M90">
        <v>1</v>
      </c>
      <c r="N90">
        <v>1</v>
      </c>
      <c r="O90">
        <v>1</v>
      </c>
    </row>
    <row r="91" spans="1:16" x14ac:dyDescent="0.25">
      <c r="A91" t="s">
        <v>92</v>
      </c>
      <c r="B91" t="s">
        <v>75</v>
      </c>
      <c r="C91">
        <v>0</v>
      </c>
      <c r="D91">
        <v>10.82086229324341</v>
      </c>
      <c r="E91">
        <v>1</v>
      </c>
      <c r="F91">
        <v>1</v>
      </c>
      <c r="G91">
        <v>1</v>
      </c>
      <c r="H91">
        <v>1</v>
      </c>
      <c r="I91">
        <v>1</v>
      </c>
      <c r="J91">
        <v>1</v>
      </c>
      <c r="K91">
        <v>1</v>
      </c>
      <c r="L91">
        <v>1</v>
      </c>
      <c r="M91">
        <v>1</v>
      </c>
      <c r="N91">
        <v>1</v>
      </c>
      <c r="O91">
        <v>1</v>
      </c>
    </row>
    <row r="92" spans="1:16" x14ac:dyDescent="0.25">
      <c r="A92" t="s">
        <v>92</v>
      </c>
      <c r="B92" t="s">
        <v>77</v>
      </c>
      <c r="C92">
        <v>0</v>
      </c>
      <c r="D92">
        <v>2.9577286243438721</v>
      </c>
      <c r="E92">
        <v>1</v>
      </c>
      <c r="F92">
        <v>1</v>
      </c>
      <c r="G92">
        <v>1</v>
      </c>
      <c r="H92">
        <v>1</v>
      </c>
      <c r="I92">
        <v>1</v>
      </c>
      <c r="J92">
        <v>1</v>
      </c>
      <c r="K92">
        <v>1</v>
      </c>
      <c r="L92">
        <v>1</v>
      </c>
      <c r="M92">
        <v>1</v>
      </c>
      <c r="N92">
        <v>1</v>
      </c>
      <c r="O92">
        <v>1</v>
      </c>
    </row>
    <row r="93" spans="1:16" x14ac:dyDescent="0.25">
      <c r="A93" t="s">
        <v>92</v>
      </c>
      <c r="B93" t="s">
        <v>79</v>
      </c>
      <c r="C93">
        <v>0</v>
      </c>
      <c r="D93">
        <v>4.8294637203216553</v>
      </c>
      <c r="E93">
        <v>1</v>
      </c>
      <c r="F93">
        <v>1</v>
      </c>
      <c r="G93">
        <v>1</v>
      </c>
      <c r="H93">
        <v>1</v>
      </c>
      <c r="I93">
        <v>1</v>
      </c>
      <c r="J93">
        <v>0</v>
      </c>
      <c r="K93">
        <v>1</v>
      </c>
      <c r="L93">
        <v>1</v>
      </c>
      <c r="M93">
        <v>1</v>
      </c>
      <c r="N93">
        <v>1</v>
      </c>
      <c r="O93">
        <v>1</v>
      </c>
      <c r="P93" t="s">
        <v>312</v>
      </c>
    </row>
    <row r="94" spans="1:16" x14ac:dyDescent="0.25">
      <c r="A94" t="s">
        <v>92</v>
      </c>
      <c r="B94" t="s">
        <v>81</v>
      </c>
      <c r="C94">
        <v>0</v>
      </c>
      <c r="D94">
        <v>10.895059108734131</v>
      </c>
      <c r="E94">
        <v>1</v>
      </c>
      <c r="F94">
        <v>1</v>
      </c>
      <c r="G94">
        <v>1</v>
      </c>
      <c r="H94">
        <v>1</v>
      </c>
      <c r="I94">
        <v>1</v>
      </c>
      <c r="J94">
        <v>1</v>
      </c>
      <c r="K94">
        <v>1</v>
      </c>
      <c r="L94">
        <v>1</v>
      </c>
      <c r="M94">
        <v>1</v>
      </c>
      <c r="N94">
        <v>1</v>
      </c>
      <c r="O94">
        <v>1</v>
      </c>
    </row>
    <row r="95" spans="1:16" x14ac:dyDescent="0.25">
      <c r="A95" t="s">
        <v>92</v>
      </c>
      <c r="B95" t="s">
        <v>83</v>
      </c>
      <c r="C95">
        <v>0</v>
      </c>
      <c r="D95">
        <v>13.45723247528076</v>
      </c>
      <c r="E95">
        <v>1</v>
      </c>
      <c r="F95">
        <v>1</v>
      </c>
      <c r="G95">
        <v>1</v>
      </c>
      <c r="H95">
        <v>1</v>
      </c>
      <c r="I95">
        <v>1</v>
      </c>
      <c r="J95">
        <v>0</v>
      </c>
      <c r="K95">
        <v>1</v>
      </c>
      <c r="L95">
        <v>1</v>
      </c>
      <c r="M95">
        <v>1</v>
      </c>
      <c r="N95">
        <v>1</v>
      </c>
      <c r="O95">
        <v>1</v>
      </c>
      <c r="P95" t="s">
        <v>313</v>
      </c>
    </row>
    <row r="96" spans="1:16" x14ac:dyDescent="0.25">
      <c r="A96" t="s">
        <v>92</v>
      </c>
      <c r="B96" t="s">
        <v>85</v>
      </c>
      <c r="C96">
        <v>0</v>
      </c>
      <c r="D96">
        <v>5.385310173034668</v>
      </c>
      <c r="E96">
        <v>1</v>
      </c>
      <c r="F96">
        <v>1</v>
      </c>
      <c r="G96">
        <v>1</v>
      </c>
      <c r="H96">
        <v>1</v>
      </c>
      <c r="I96">
        <v>1</v>
      </c>
      <c r="J96">
        <v>0</v>
      </c>
      <c r="K96">
        <v>1</v>
      </c>
      <c r="L96">
        <v>1</v>
      </c>
      <c r="M96">
        <v>1</v>
      </c>
      <c r="N96">
        <v>1</v>
      </c>
      <c r="O96">
        <v>1</v>
      </c>
      <c r="P96" t="s">
        <v>314</v>
      </c>
    </row>
    <row r="97" spans="1:16" x14ac:dyDescent="0.25">
      <c r="A97" t="s">
        <v>92</v>
      </c>
      <c r="B97" t="s">
        <v>87</v>
      </c>
      <c r="C97">
        <v>0</v>
      </c>
      <c r="D97">
        <v>12.318402528762819</v>
      </c>
      <c r="E97">
        <v>1</v>
      </c>
      <c r="F97">
        <v>1</v>
      </c>
      <c r="G97">
        <v>1</v>
      </c>
      <c r="H97">
        <v>1</v>
      </c>
      <c r="I97">
        <v>1</v>
      </c>
      <c r="J97">
        <v>0</v>
      </c>
      <c r="K97">
        <v>1</v>
      </c>
      <c r="L97">
        <v>1</v>
      </c>
      <c r="M97">
        <v>1</v>
      </c>
      <c r="N97">
        <v>1</v>
      </c>
      <c r="O97">
        <v>1</v>
      </c>
      <c r="P97" t="s">
        <v>315</v>
      </c>
    </row>
    <row r="98" spans="1:16" x14ac:dyDescent="0.25">
      <c r="A98" t="s">
        <v>92</v>
      </c>
      <c r="B98" t="s">
        <v>89</v>
      </c>
      <c r="C98">
        <v>0</v>
      </c>
      <c r="D98">
        <v>12.474492311477659</v>
      </c>
      <c r="E98">
        <v>1</v>
      </c>
      <c r="F98">
        <v>1</v>
      </c>
      <c r="G98">
        <v>1</v>
      </c>
      <c r="H98">
        <v>1</v>
      </c>
      <c r="I98">
        <v>1</v>
      </c>
      <c r="J98">
        <v>0</v>
      </c>
      <c r="K98">
        <v>1</v>
      </c>
      <c r="L98">
        <v>1</v>
      </c>
      <c r="M98">
        <v>1</v>
      </c>
      <c r="N98">
        <v>1</v>
      </c>
      <c r="O98">
        <v>1</v>
      </c>
      <c r="P98" t="s">
        <v>316</v>
      </c>
    </row>
    <row r="99" spans="1:16" x14ac:dyDescent="0.25">
      <c r="A99" t="s">
        <v>92</v>
      </c>
      <c r="B99" t="s">
        <v>90</v>
      </c>
      <c r="C99">
        <v>0</v>
      </c>
      <c r="D99">
        <v>5.3146495819091797</v>
      </c>
      <c r="E99">
        <v>1</v>
      </c>
      <c r="F99">
        <v>1</v>
      </c>
      <c r="G99">
        <v>1</v>
      </c>
      <c r="H99">
        <v>1</v>
      </c>
      <c r="I99">
        <v>1</v>
      </c>
      <c r="J99">
        <v>0</v>
      </c>
      <c r="K99">
        <v>1</v>
      </c>
      <c r="L99">
        <v>1</v>
      </c>
      <c r="M99">
        <v>1</v>
      </c>
      <c r="N99">
        <v>1</v>
      </c>
      <c r="O99">
        <v>1</v>
      </c>
      <c r="P99" t="s">
        <v>317</v>
      </c>
    </row>
    <row r="100" spans="1:16" x14ac:dyDescent="0.25">
      <c r="A100" t="s">
        <v>92</v>
      </c>
      <c r="B100" t="s">
        <v>115</v>
      </c>
      <c r="C100">
        <v>0</v>
      </c>
      <c r="D100">
        <v>12.9890034198761</v>
      </c>
      <c r="E100">
        <v>1</v>
      </c>
      <c r="F100">
        <v>0</v>
      </c>
      <c r="G100">
        <v>0</v>
      </c>
      <c r="H100" t="s">
        <v>22</v>
      </c>
      <c r="I100">
        <v>1</v>
      </c>
      <c r="J100" t="s">
        <v>22</v>
      </c>
      <c r="K100">
        <v>1</v>
      </c>
      <c r="L100">
        <v>1</v>
      </c>
      <c r="M100">
        <v>1</v>
      </c>
      <c r="N100">
        <v>1</v>
      </c>
      <c r="O100">
        <v>1</v>
      </c>
      <c r="P100" t="s">
        <v>318</v>
      </c>
    </row>
    <row r="101" spans="1:16" x14ac:dyDescent="0.25">
      <c r="A101" t="s">
        <v>92</v>
      </c>
      <c r="B101" t="s">
        <v>117</v>
      </c>
      <c r="C101">
        <v>0</v>
      </c>
      <c r="D101">
        <v>4.4104397296905518</v>
      </c>
      <c r="E101">
        <v>1</v>
      </c>
      <c r="F101">
        <v>1</v>
      </c>
      <c r="G101">
        <v>1</v>
      </c>
      <c r="H101">
        <v>1</v>
      </c>
      <c r="I101">
        <v>1</v>
      </c>
      <c r="J101">
        <v>0</v>
      </c>
      <c r="K101">
        <v>1</v>
      </c>
      <c r="L101">
        <v>1</v>
      </c>
      <c r="M101">
        <v>1</v>
      </c>
      <c r="N101">
        <v>1</v>
      </c>
      <c r="O101">
        <v>1</v>
      </c>
      <c r="P101" t="s">
        <v>319</v>
      </c>
    </row>
    <row r="102" spans="1:16" x14ac:dyDescent="0.25">
      <c r="A102" t="s">
        <v>92</v>
      </c>
      <c r="B102" t="s">
        <v>119</v>
      </c>
      <c r="C102">
        <v>0</v>
      </c>
      <c r="D102">
        <v>4.7001733779907227</v>
      </c>
      <c r="E102">
        <v>1</v>
      </c>
      <c r="F102">
        <v>1</v>
      </c>
      <c r="G102">
        <v>1</v>
      </c>
      <c r="H102">
        <v>1</v>
      </c>
      <c r="I102">
        <v>1</v>
      </c>
      <c r="J102">
        <v>0</v>
      </c>
      <c r="K102">
        <v>1</v>
      </c>
      <c r="L102">
        <v>1</v>
      </c>
      <c r="M102">
        <v>1</v>
      </c>
      <c r="N102">
        <v>1</v>
      </c>
      <c r="O102">
        <v>1</v>
      </c>
      <c r="P102" t="s">
        <v>320</v>
      </c>
    </row>
    <row r="103" spans="1:16" x14ac:dyDescent="0.25">
      <c r="A103" t="s">
        <v>92</v>
      </c>
      <c r="B103" t="s">
        <v>121</v>
      </c>
      <c r="C103">
        <v>0</v>
      </c>
      <c r="D103">
        <v>12.25311970710754</v>
      </c>
      <c r="E103">
        <v>1</v>
      </c>
      <c r="F103">
        <v>1</v>
      </c>
      <c r="G103">
        <v>1</v>
      </c>
      <c r="H103">
        <v>1</v>
      </c>
      <c r="I103">
        <v>1</v>
      </c>
      <c r="J103">
        <v>0</v>
      </c>
      <c r="K103">
        <v>1</v>
      </c>
      <c r="L103">
        <v>1</v>
      </c>
      <c r="M103">
        <v>1</v>
      </c>
      <c r="N103">
        <v>1</v>
      </c>
      <c r="O103">
        <v>1</v>
      </c>
      <c r="P103" t="s">
        <v>321</v>
      </c>
    </row>
    <row r="104" spans="1:16" x14ac:dyDescent="0.25">
      <c r="A104" t="s">
        <v>92</v>
      </c>
      <c r="B104" t="s">
        <v>122</v>
      </c>
      <c r="C104">
        <v>0</v>
      </c>
      <c r="D104">
        <v>11.58681416511536</v>
      </c>
      <c r="E104">
        <v>1</v>
      </c>
      <c r="F104">
        <v>1</v>
      </c>
      <c r="G104">
        <v>1</v>
      </c>
      <c r="H104">
        <v>1</v>
      </c>
      <c r="I104">
        <v>1</v>
      </c>
      <c r="J104">
        <v>0</v>
      </c>
      <c r="K104">
        <v>1</v>
      </c>
      <c r="L104">
        <v>1</v>
      </c>
      <c r="M104">
        <v>1</v>
      </c>
      <c r="N104">
        <v>1</v>
      </c>
      <c r="O104">
        <v>1</v>
      </c>
      <c r="P104" t="s">
        <v>322</v>
      </c>
    </row>
    <row r="105" spans="1:16" x14ac:dyDescent="0.25">
      <c r="A105" t="s">
        <v>92</v>
      </c>
      <c r="B105" t="s">
        <v>124</v>
      </c>
      <c r="C105">
        <v>0</v>
      </c>
      <c r="D105">
        <v>5.1935975551605216</v>
      </c>
      <c r="E105">
        <v>1</v>
      </c>
      <c r="F105">
        <v>1</v>
      </c>
      <c r="G105">
        <v>1</v>
      </c>
      <c r="H105">
        <v>1</v>
      </c>
      <c r="I105">
        <v>1</v>
      </c>
      <c r="J105">
        <v>0</v>
      </c>
      <c r="K105">
        <v>1</v>
      </c>
      <c r="L105">
        <v>1</v>
      </c>
      <c r="M105">
        <v>1</v>
      </c>
      <c r="N105">
        <v>1</v>
      </c>
      <c r="O105">
        <v>1</v>
      </c>
      <c r="P105" t="s">
        <v>323</v>
      </c>
    </row>
    <row r="106" spans="1:16" x14ac:dyDescent="0.25">
      <c r="A106" t="s">
        <v>92</v>
      </c>
      <c r="B106" t="s">
        <v>126</v>
      </c>
      <c r="C106">
        <v>0</v>
      </c>
      <c r="D106">
        <v>11.691153526306151</v>
      </c>
      <c r="E106">
        <v>0</v>
      </c>
      <c r="F106" t="s">
        <v>22</v>
      </c>
      <c r="G106" t="s">
        <v>22</v>
      </c>
      <c r="H106" t="s">
        <v>22</v>
      </c>
      <c r="I106" t="s">
        <v>22</v>
      </c>
      <c r="J106" t="s">
        <v>22</v>
      </c>
      <c r="K106" t="s">
        <v>22</v>
      </c>
      <c r="L106" t="s">
        <v>22</v>
      </c>
      <c r="M106" t="s">
        <v>22</v>
      </c>
      <c r="N106" t="s">
        <v>22</v>
      </c>
      <c r="O106" t="s">
        <v>22</v>
      </c>
      <c r="P106" t="s">
        <v>324</v>
      </c>
    </row>
    <row r="107" spans="1:16" x14ac:dyDescent="0.25">
      <c r="A107" t="s">
        <v>92</v>
      </c>
      <c r="B107" t="s">
        <v>128</v>
      </c>
      <c r="C107">
        <v>0</v>
      </c>
      <c r="D107">
        <v>12.245504856109619</v>
      </c>
      <c r="E107">
        <v>0</v>
      </c>
      <c r="F107" t="s">
        <v>22</v>
      </c>
      <c r="G107" t="s">
        <v>22</v>
      </c>
      <c r="H107" t="s">
        <v>22</v>
      </c>
      <c r="I107" t="s">
        <v>22</v>
      </c>
      <c r="J107" t="s">
        <v>22</v>
      </c>
      <c r="K107" t="s">
        <v>22</v>
      </c>
      <c r="L107" t="s">
        <v>22</v>
      </c>
      <c r="M107" t="s">
        <v>22</v>
      </c>
      <c r="N107" t="s">
        <v>22</v>
      </c>
      <c r="O107" t="s">
        <v>22</v>
      </c>
      <c r="P107" t="s">
        <v>325</v>
      </c>
    </row>
    <row r="108" spans="1:16" x14ac:dyDescent="0.25">
      <c r="A108" t="s">
        <v>92</v>
      </c>
      <c r="B108" t="s">
        <v>130</v>
      </c>
      <c r="C108">
        <v>0</v>
      </c>
      <c r="D108">
        <v>13.39101767539978</v>
      </c>
      <c r="E108">
        <v>1</v>
      </c>
      <c r="F108">
        <v>1</v>
      </c>
      <c r="G108">
        <v>1</v>
      </c>
      <c r="H108">
        <v>1</v>
      </c>
      <c r="I108">
        <v>1</v>
      </c>
      <c r="J108">
        <v>0</v>
      </c>
      <c r="K108">
        <v>1</v>
      </c>
      <c r="L108">
        <v>1</v>
      </c>
      <c r="M108">
        <v>1</v>
      </c>
      <c r="N108">
        <v>1</v>
      </c>
      <c r="O108">
        <v>1</v>
      </c>
      <c r="P108" t="s">
        <v>326</v>
      </c>
    </row>
    <row r="109" spans="1:16" x14ac:dyDescent="0.25">
      <c r="A109" t="s">
        <v>92</v>
      </c>
      <c r="B109" t="s">
        <v>131</v>
      </c>
      <c r="C109">
        <v>0</v>
      </c>
      <c r="D109">
        <v>10.14531493186951</v>
      </c>
      <c r="E109">
        <v>1</v>
      </c>
      <c r="F109">
        <v>1</v>
      </c>
      <c r="G109">
        <v>1</v>
      </c>
      <c r="H109">
        <v>1</v>
      </c>
      <c r="I109">
        <v>1</v>
      </c>
      <c r="J109">
        <v>1</v>
      </c>
      <c r="K109">
        <v>1</v>
      </c>
      <c r="L109">
        <v>1</v>
      </c>
      <c r="M109">
        <v>1</v>
      </c>
      <c r="N109">
        <v>1</v>
      </c>
      <c r="O109">
        <v>1</v>
      </c>
    </row>
    <row r="110" spans="1:16" x14ac:dyDescent="0.25">
      <c r="A110" t="s">
        <v>92</v>
      </c>
      <c r="B110" t="s">
        <v>133</v>
      </c>
      <c r="C110">
        <v>0</v>
      </c>
      <c r="D110">
        <v>4.9029409885406494</v>
      </c>
      <c r="E110">
        <v>1</v>
      </c>
      <c r="F110">
        <v>1</v>
      </c>
      <c r="G110">
        <v>1</v>
      </c>
      <c r="H110">
        <v>1</v>
      </c>
      <c r="I110">
        <v>1</v>
      </c>
      <c r="J110">
        <v>0</v>
      </c>
      <c r="K110">
        <v>1</v>
      </c>
      <c r="L110">
        <v>1</v>
      </c>
      <c r="M110">
        <v>1</v>
      </c>
      <c r="N110">
        <v>1</v>
      </c>
      <c r="O110">
        <v>1</v>
      </c>
      <c r="P110" t="s">
        <v>327</v>
      </c>
    </row>
    <row r="111" spans="1:16" x14ac:dyDescent="0.25">
      <c r="A111" t="s">
        <v>92</v>
      </c>
      <c r="B111" t="s">
        <v>135</v>
      </c>
      <c r="C111">
        <v>0</v>
      </c>
      <c r="D111">
        <v>6.0172369480133057</v>
      </c>
      <c r="E111">
        <v>0</v>
      </c>
      <c r="F111" t="s">
        <v>22</v>
      </c>
      <c r="G111" t="s">
        <v>22</v>
      </c>
      <c r="H111" t="s">
        <v>22</v>
      </c>
      <c r="I111" t="s">
        <v>22</v>
      </c>
      <c r="J111" t="s">
        <v>22</v>
      </c>
      <c r="K111" t="s">
        <v>22</v>
      </c>
      <c r="L111" t="s">
        <v>22</v>
      </c>
      <c r="M111" t="s">
        <v>22</v>
      </c>
      <c r="N111" t="s">
        <v>22</v>
      </c>
      <c r="O111" t="s">
        <v>22</v>
      </c>
      <c r="P111" t="s">
        <v>328</v>
      </c>
    </row>
    <row r="112" spans="1:16" x14ac:dyDescent="0.25">
      <c r="A112" t="s">
        <v>92</v>
      </c>
      <c r="B112" t="s">
        <v>137</v>
      </c>
      <c r="C112">
        <v>0</v>
      </c>
      <c r="D112">
        <v>3.067782878875732</v>
      </c>
      <c r="E112">
        <v>1</v>
      </c>
      <c r="F112">
        <v>1</v>
      </c>
      <c r="G112">
        <v>1</v>
      </c>
      <c r="H112">
        <v>1</v>
      </c>
      <c r="I112">
        <v>1</v>
      </c>
      <c r="J112">
        <v>1</v>
      </c>
      <c r="K112">
        <v>1</v>
      </c>
      <c r="L112">
        <v>1</v>
      </c>
      <c r="M112">
        <v>1</v>
      </c>
      <c r="N112">
        <v>1</v>
      </c>
      <c r="O112">
        <v>1</v>
      </c>
    </row>
    <row r="113" spans="1:16" x14ac:dyDescent="0.25">
      <c r="A113" t="s">
        <v>92</v>
      </c>
      <c r="B113" t="s">
        <v>138</v>
      </c>
      <c r="C113">
        <v>0</v>
      </c>
      <c r="D113">
        <v>12.856729984283451</v>
      </c>
      <c r="E113">
        <v>1</v>
      </c>
      <c r="F113">
        <v>1</v>
      </c>
      <c r="G113">
        <v>1</v>
      </c>
      <c r="H113">
        <v>1</v>
      </c>
      <c r="I113">
        <v>1</v>
      </c>
      <c r="J113">
        <v>0</v>
      </c>
      <c r="K113">
        <v>1</v>
      </c>
      <c r="L113">
        <v>1</v>
      </c>
      <c r="M113">
        <v>1</v>
      </c>
      <c r="N113">
        <v>1</v>
      </c>
      <c r="O113">
        <v>1</v>
      </c>
      <c r="P113" t="s">
        <v>329</v>
      </c>
    </row>
    <row r="114" spans="1:16" x14ac:dyDescent="0.25">
      <c r="A114" t="s">
        <v>140</v>
      </c>
      <c r="B114" t="s">
        <v>17</v>
      </c>
      <c r="C114">
        <v>0</v>
      </c>
      <c r="D114">
        <v>9.8206477165222168</v>
      </c>
      <c r="E114">
        <v>1</v>
      </c>
      <c r="F114">
        <v>1</v>
      </c>
      <c r="G114">
        <v>1</v>
      </c>
      <c r="H114">
        <v>1</v>
      </c>
      <c r="I114">
        <v>1</v>
      </c>
      <c r="J114">
        <v>1</v>
      </c>
      <c r="K114">
        <v>1</v>
      </c>
      <c r="L114">
        <v>1</v>
      </c>
      <c r="M114">
        <v>1</v>
      </c>
      <c r="N114">
        <v>1</v>
      </c>
      <c r="O114">
        <v>1</v>
      </c>
    </row>
    <row r="115" spans="1:16" x14ac:dyDescent="0.25">
      <c r="A115" t="s">
        <v>140</v>
      </c>
      <c r="B115" t="s">
        <v>19</v>
      </c>
      <c r="C115">
        <v>0</v>
      </c>
      <c r="D115">
        <v>8.9394223690032959</v>
      </c>
      <c r="E115">
        <v>1</v>
      </c>
      <c r="F115">
        <v>1</v>
      </c>
      <c r="G115">
        <v>1</v>
      </c>
      <c r="H115">
        <v>1</v>
      </c>
      <c r="I115">
        <v>1</v>
      </c>
      <c r="J115">
        <v>1</v>
      </c>
      <c r="K115">
        <v>1</v>
      </c>
      <c r="L115">
        <v>1</v>
      </c>
      <c r="M115">
        <v>1</v>
      </c>
      <c r="N115">
        <v>1</v>
      </c>
      <c r="O115">
        <v>1</v>
      </c>
    </row>
    <row r="116" spans="1:16" x14ac:dyDescent="0.25">
      <c r="A116" t="s">
        <v>140</v>
      </c>
      <c r="B116" t="s">
        <v>20</v>
      </c>
      <c r="C116">
        <v>0</v>
      </c>
      <c r="D116">
        <v>13.65376830101013</v>
      </c>
      <c r="E116">
        <v>0</v>
      </c>
      <c r="F116" t="s">
        <v>22</v>
      </c>
      <c r="G116" t="s">
        <v>22</v>
      </c>
      <c r="H116" t="s">
        <v>22</v>
      </c>
      <c r="I116" t="s">
        <v>22</v>
      </c>
      <c r="J116" t="s">
        <v>22</v>
      </c>
      <c r="K116" t="s">
        <v>22</v>
      </c>
      <c r="L116" t="s">
        <v>22</v>
      </c>
      <c r="M116" t="s">
        <v>22</v>
      </c>
      <c r="N116" t="s">
        <v>22</v>
      </c>
      <c r="O116" t="s">
        <v>22</v>
      </c>
      <c r="P116" t="s">
        <v>330</v>
      </c>
    </row>
    <row r="117" spans="1:16" x14ac:dyDescent="0.25">
      <c r="A117" t="s">
        <v>140</v>
      </c>
      <c r="B117" t="s">
        <v>21</v>
      </c>
      <c r="C117">
        <v>0</v>
      </c>
      <c r="D117">
        <v>3.0015244483947749</v>
      </c>
      <c r="E117">
        <v>1</v>
      </c>
      <c r="F117">
        <v>1</v>
      </c>
      <c r="G117">
        <v>1</v>
      </c>
      <c r="H117">
        <v>1</v>
      </c>
      <c r="I117">
        <v>1</v>
      </c>
      <c r="J117">
        <v>1</v>
      </c>
      <c r="K117">
        <v>1</v>
      </c>
      <c r="L117">
        <v>1</v>
      </c>
      <c r="M117">
        <v>1</v>
      </c>
      <c r="N117">
        <v>1</v>
      </c>
      <c r="O117">
        <v>1</v>
      </c>
    </row>
    <row r="118" spans="1:16" x14ac:dyDescent="0.25">
      <c r="A118" t="s">
        <v>140</v>
      </c>
      <c r="B118" t="s">
        <v>24</v>
      </c>
      <c r="C118">
        <v>0</v>
      </c>
      <c r="D118">
        <v>2.972569465637207</v>
      </c>
      <c r="E118">
        <v>1</v>
      </c>
      <c r="F118">
        <v>1</v>
      </c>
      <c r="G118">
        <v>1</v>
      </c>
      <c r="H118">
        <v>1</v>
      </c>
      <c r="I118">
        <v>1</v>
      </c>
      <c r="J118">
        <v>1</v>
      </c>
      <c r="K118">
        <v>1</v>
      </c>
      <c r="L118">
        <v>1</v>
      </c>
      <c r="M118">
        <v>1</v>
      </c>
      <c r="N118">
        <v>1</v>
      </c>
      <c r="O118">
        <v>1</v>
      </c>
    </row>
    <row r="119" spans="1:16" x14ac:dyDescent="0.25">
      <c r="A119" t="s">
        <v>140</v>
      </c>
      <c r="B119" t="s">
        <v>25</v>
      </c>
      <c r="C119">
        <v>0</v>
      </c>
      <c r="D119">
        <v>11.756079435348511</v>
      </c>
      <c r="E119">
        <v>1</v>
      </c>
      <c r="F119">
        <v>0</v>
      </c>
      <c r="G119">
        <v>1</v>
      </c>
      <c r="H119" t="s">
        <v>22</v>
      </c>
      <c r="I119">
        <v>1</v>
      </c>
      <c r="J119" t="s">
        <v>22</v>
      </c>
      <c r="K119">
        <v>1</v>
      </c>
      <c r="L119">
        <v>1</v>
      </c>
      <c r="M119">
        <v>0</v>
      </c>
      <c r="N119">
        <v>1</v>
      </c>
      <c r="O119">
        <v>1</v>
      </c>
      <c r="P119" t="s">
        <v>331</v>
      </c>
    </row>
    <row r="120" spans="1:16" x14ac:dyDescent="0.25">
      <c r="A120" t="s">
        <v>140</v>
      </c>
      <c r="B120" t="s">
        <v>26</v>
      </c>
      <c r="C120">
        <v>0</v>
      </c>
      <c r="D120">
        <v>7.4534153938293457</v>
      </c>
      <c r="E120">
        <v>1</v>
      </c>
      <c r="F120">
        <v>1</v>
      </c>
      <c r="G120">
        <v>0</v>
      </c>
      <c r="H120" t="s">
        <v>22</v>
      </c>
      <c r="I120">
        <v>1</v>
      </c>
      <c r="J120">
        <v>1</v>
      </c>
      <c r="K120">
        <v>1</v>
      </c>
      <c r="L120">
        <v>1</v>
      </c>
      <c r="M120">
        <v>1</v>
      </c>
      <c r="N120">
        <v>1</v>
      </c>
      <c r="O120">
        <v>1</v>
      </c>
      <c r="P120" t="s">
        <v>332</v>
      </c>
    </row>
    <row r="121" spans="1:16" x14ac:dyDescent="0.25">
      <c r="A121" t="s">
        <v>140</v>
      </c>
      <c r="B121" t="s">
        <v>27</v>
      </c>
      <c r="C121">
        <v>0</v>
      </c>
      <c r="D121">
        <v>9.7075612545013428</v>
      </c>
      <c r="E121">
        <v>1</v>
      </c>
      <c r="F121">
        <v>1</v>
      </c>
      <c r="G121">
        <v>1</v>
      </c>
      <c r="H121">
        <v>1</v>
      </c>
      <c r="I121">
        <v>1</v>
      </c>
      <c r="J121">
        <v>1</v>
      </c>
      <c r="K121">
        <v>1</v>
      </c>
      <c r="L121">
        <v>1</v>
      </c>
      <c r="M121">
        <v>1</v>
      </c>
      <c r="N121">
        <v>1</v>
      </c>
      <c r="O121">
        <v>1</v>
      </c>
    </row>
    <row r="122" spans="1:16" x14ac:dyDescent="0.25">
      <c r="A122" t="s">
        <v>140</v>
      </c>
      <c r="B122" t="s">
        <v>28</v>
      </c>
      <c r="C122">
        <v>0</v>
      </c>
      <c r="D122">
        <v>5.3180458545684806</v>
      </c>
      <c r="E122">
        <v>1</v>
      </c>
      <c r="F122">
        <v>1</v>
      </c>
      <c r="G122">
        <v>1</v>
      </c>
      <c r="H122">
        <v>0</v>
      </c>
      <c r="I122">
        <v>1</v>
      </c>
      <c r="J122">
        <v>1</v>
      </c>
      <c r="K122">
        <v>1</v>
      </c>
      <c r="L122">
        <v>1</v>
      </c>
      <c r="M122">
        <v>1</v>
      </c>
      <c r="N122">
        <v>1</v>
      </c>
      <c r="O122">
        <v>1</v>
      </c>
      <c r="P122" t="s">
        <v>333</v>
      </c>
    </row>
    <row r="123" spans="1:16" x14ac:dyDescent="0.25">
      <c r="A123" t="s">
        <v>140</v>
      </c>
      <c r="B123" t="s">
        <v>29</v>
      </c>
      <c r="C123">
        <v>0</v>
      </c>
      <c r="D123">
        <v>5.6918847560882568</v>
      </c>
      <c r="E123">
        <v>1</v>
      </c>
      <c r="F123">
        <v>0</v>
      </c>
      <c r="G123">
        <v>1</v>
      </c>
      <c r="H123" t="s">
        <v>22</v>
      </c>
      <c r="I123">
        <v>1</v>
      </c>
      <c r="J123" t="s">
        <v>22</v>
      </c>
      <c r="K123">
        <v>1</v>
      </c>
      <c r="L123">
        <v>1</v>
      </c>
      <c r="M123">
        <v>1</v>
      </c>
      <c r="N123">
        <v>1</v>
      </c>
      <c r="O123">
        <v>1</v>
      </c>
      <c r="P123" t="s">
        <v>334</v>
      </c>
    </row>
    <row r="124" spans="1:16" x14ac:dyDescent="0.25">
      <c r="A124" t="s">
        <v>140</v>
      </c>
      <c r="B124" t="s">
        <v>30</v>
      </c>
      <c r="C124">
        <v>0</v>
      </c>
      <c r="D124">
        <v>11.99250054359436</v>
      </c>
      <c r="E124">
        <v>1</v>
      </c>
      <c r="F124">
        <v>0</v>
      </c>
      <c r="G124">
        <v>1</v>
      </c>
      <c r="H124" t="s">
        <v>22</v>
      </c>
      <c r="I124">
        <v>1</v>
      </c>
      <c r="J124" t="s">
        <v>22</v>
      </c>
      <c r="K124">
        <v>1</v>
      </c>
      <c r="L124">
        <v>1</v>
      </c>
      <c r="M124">
        <v>1</v>
      </c>
      <c r="N124">
        <v>1</v>
      </c>
      <c r="O124">
        <v>1</v>
      </c>
      <c r="P124" t="s">
        <v>335</v>
      </c>
    </row>
    <row r="125" spans="1:16" x14ac:dyDescent="0.25">
      <c r="A125" t="s">
        <v>140</v>
      </c>
      <c r="B125" t="s">
        <v>32</v>
      </c>
      <c r="C125">
        <v>0</v>
      </c>
      <c r="D125">
        <v>7.9762909412384033</v>
      </c>
      <c r="E125">
        <v>1</v>
      </c>
      <c r="F125">
        <v>1</v>
      </c>
      <c r="G125">
        <v>1</v>
      </c>
      <c r="H125">
        <v>1</v>
      </c>
      <c r="I125">
        <v>1</v>
      </c>
      <c r="J125">
        <v>1</v>
      </c>
      <c r="K125">
        <v>1</v>
      </c>
      <c r="L125">
        <v>0</v>
      </c>
      <c r="M125">
        <v>1</v>
      </c>
      <c r="N125">
        <v>1</v>
      </c>
      <c r="O125">
        <v>1</v>
      </c>
      <c r="P125" t="s">
        <v>336</v>
      </c>
    </row>
    <row r="126" spans="1:16" x14ac:dyDescent="0.25">
      <c r="A126" t="s">
        <v>140</v>
      </c>
      <c r="B126" t="s">
        <v>33</v>
      </c>
      <c r="C126">
        <v>0</v>
      </c>
      <c r="D126">
        <v>2.9746356010437012</v>
      </c>
      <c r="E126">
        <v>1</v>
      </c>
      <c r="F126">
        <v>1</v>
      </c>
      <c r="G126">
        <v>1</v>
      </c>
      <c r="H126">
        <v>1</v>
      </c>
      <c r="I126">
        <v>1</v>
      </c>
      <c r="J126">
        <v>1</v>
      </c>
      <c r="K126">
        <v>1</v>
      </c>
      <c r="L126">
        <v>1</v>
      </c>
      <c r="M126">
        <v>1</v>
      </c>
      <c r="N126">
        <v>1</v>
      </c>
      <c r="O126">
        <v>1</v>
      </c>
    </row>
    <row r="127" spans="1:16" x14ac:dyDescent="0.25">
      <c r="A127" t="s">
        <v>140</v>
      </c>
      <c r="B127" t="s">
        <v>35</v>
      </c>
      <c r="C127">
        <v>0</v>
      </c>
      <c r="D127">
        <v>2.9526264667510991</v>
      </c>
      <c r="E127">
        <v>1</v>
      </c>
      <c r="F127">
        <v>1</v>
      </c>
      <c r="G127">
        <v>1</v>
      </c>
      <c r="H127">
        <v>1</v>
      </c>
      <c r="I127">
        <v>1</v>
      </c>
      <c r="J127">
        <v>1</v>
      </c>
      <c r="K127">
        <v>1</v>
      </c>
      <c r="L127">
        <v>1</v>
      </c>
      <c r="M127">
        <v>1</v>
      </c>
      <c r="N127">
        <v>1</v>
      </c>
      <c r="O127">
        <v>1</v>
      </c>
    </row>
    <row r="128" spans="1:16" x14ac:dyDescent="0.25">
      <c r="A128" t="s">
        <v>140</v>
      </c>
      <c r="B128" t="s">
        <v>36</v>
      </c>
      <c r="C128">
        <v>0</v>
      </c>
      <c r="D128">
        <v>10.974340200424191</v>
      </c>
      <c r="E128">
        <v>1</v>
      </c>
      <c r="F128">
        <v>1</v>
      </c>
      <c r="G128">
        <v>1</v>
      </c>
      <c r="H128">
        <v>1</v>
      </c>
      <c r="I128">
        <v>1</v>
      </c>
      <c r="J128">
        <v>1</v>
      </c>
      <c r="K128">
        <v>1</v>
      </c>
      <c r="L128">
        <v>1</v>
      </c>
      <c r="M128">
        <v>1</v>
      </c>
      <c r="N128">
        <v>1</v>
      </c>
      <c r="O128">
        <v>1</v>
      </c>
    </row>
    <row r="129" spans="1:16" x14ac:dyDescent="0.25">
      <c r="A129" t="s">
        <v>140</v>
      </c>
      <c r="B129" t="s">
        <v>38</v>
      </c>
      <c r="C129">
        <v>0</v>
      </c>
      <c r="D129">
        <v>2.917394638061523</v>
      </c>
      <c r="E129">
        <v>1</v>
      </c>
      <c r="F129">
        <v>1</v>
      </c>
      <c r="G129">
        <v>1</v>
      </c>
      <c r="H129">
        <v>1</v>
      </c>
      <c r="I129">
        <v>1</v>
      </c>
      <c r="J129">
        <v>1</v>
      </c>
      <c r="K129">
        <v>1</v>
      </c>
      <c r="L129">
        <v>1</v>
      </c>
      <c r="M129">
        <v>1</v>
      </c>
      <c r="N129">
        <v>1</v>
      </c>
      <c r="O129">
        <v>1</v>
      </c>
    </row>
    <row r="130" spans="1:16" x14ac:dyDescent="0.25">
      <c r="A130" t="s">
        <v>140</v>
      </c>
      <c r="B130" t="s">
        <v>39</v>
      </c>
      <c r="C130">
        <v>0</v>
      </c>
      <c r="D130">
        <v>9.7872543334960938</v>
      </c>
      <c r="E130">
        <v>1</v>
      </c>
      <c r="F130">
        <v>1</v>
      </c>
      <c r="G130">
        <v>1</v>
      </c>
      <c r="H130">
        <v>1</v>
      </c>
      <c r="I130">
        <v>1</v>
      </c>
      <c r="J130">
        <v>1</v>
      </c>
      <c r="K130">
        <v>1</v>
      </c>
      <c r="L130">
        <v>1</v>
      </c>
      <c r="M130">
        <v>1</v>
      </c>
      <c r="N130">
        <v>1</v>
      </c>
      <c r="O130">
        <v>1</v>
      </c>
    </row>
    <row r="131" spans="1:16" x14ac:dyDescent="0.25">
      <c r="A131" t="s">
        <v>140</v>
      </c>
      <c r="B131" t="s">
        <v>40</v>
      </c>
      <c r="C131">
        <v>0</v>
      </c>
      <c r="D131">
        <v>10.22488760948181</v>
      </c>
      <c r="E131">
        <v>1</v>
      </c>
      <c r="F131">
        <v>1</v>
      </c>
      <c r="G131">
        <v>1</v>
      </c>
      <c r="H131">
        <v>1</v>
      </c>
      <c r="I131">
        <v>1</v>
      </c>
      <c r="J131">
        <v>1</v>
      </c>
      <c r="K131">
        <v>1</v>
      </c>
      <c r="L131">
        <v>1</v>
      </c>
      <c r="M131">
        <v>1</v>
      </c>
      <c r="N131">
        <v>1</v>
      </c>
      <c r="O131">
        <v>1</v>
      </c>
    </row>
    <row r="132" spans="1:16" x14ac:dyDescent="0.25">
      <c r="A132" t="s">
        <v>140</v>
      </c>
      <c r="B132" t="s">
        <v>41</v>
      </c>
      <c r="C132">
        <v>0</v>
      </c>
      <c r="D132">
        <v>10.43219566345215</v>
      </c>
      <c r="E132">
        <v>1</v>
      </c>
      <c r="F132">
        <v>1</v>
      </c>
      <c r="G132">
        <v>1</v>
      </c>
      <c r="H132">
        <v>1</v>
      </c>
      <c r="I132">
        <v>1</v>
      </c>
      <c r="J132">
        <v>1</v>
      </c>
      <c r="K132">
        <v>1</v>
      </c>
      <c r="L132">
        <v>1</v>
      </c>
      <c r="M132">
        <v>1</v>
      </c>
      <c r="N132">
        <v>1</v>
      </c>
      <c r="O132">
        <v>1</v>
      </c>
    </row>
    <row r="133" spans="1:16" x14ac:dyDescent="0.25">
      <c r="A133" t="s">
        <v>140</v>
      </c>
      <c r="B133" t="s">
        <v>43</v>
      </c>
      <c r="C133">
        <v>0</v>
      </c>
      <c r="D133">
        <v>10.688480615615839</v>
      </c>
      <c r="E133">
        <v>1</v>
      </c>
      <c r="F133">
        <v>1</v>
      </c>
      <c r="G133">
        <v>1</v>
      </c>
      <c r="H133">
        <v>1</v>
      </c>
      <c r="I133">
        <v>1</v>
      </c>
      <c r="J133">
        <v>1</v>
      </c>
      <c r="K133">
        <v>1</v>
      </c>
      <c r="L133">
        <v>1</v>
      </c>
      <c r="M133">
        <v>1</v>
      </c>
      <c r="N133">
        <v>1</v>
      </c>
      <c r="O133">
        <v>1</v>
      </c>
    </row>
    <row r="134" spans="1:16" x14ac:dyDescent="0.25">
      <c r="A134" t="s">
        <v>140</v>
      </c>
      <c r="B134" t="s">
        <v>44</v>
      </c>
      <c r="C134">
        <v>0</v>
      </c>
      <c r="D134">
        <v>5.5753772258758536</v>
      </c>
      <c r="E134">
        <v>0</v>
      </c>
      <c r="F134" t="s">
        <v>22</v>
      </c>
      <c r="G134" t="s">
        <v>22</v>
      </c>
      <c r="H134" t="s">
        <v>22</v>
      </c>
      <c r="I134" t="s">
        <v>22</v>
      </c>
      <c r="J134" t="s">
        <v>22</v>
      </c>
      <c r="K134" t="s">
        <v>22</v>
      </c>
      <c r="L134" t="s">
        <v>22</v>
      </c>
      <c r="M134" t="s">
        <v>22</v>
      </c>
      <c r="N134" t="s">
        <v>22</v>
      </c>
      <c r="O134" t="s">
        <v>22</v>
      </c>
      <c r="P134" t="s">
        <v>337</v>
      </c>
    </row>
    <row r="135" spans="1:16" x14ac:dyDescent="0.25">
      <c r="A135" t="s">
        <v>140</v>
      </c>
      <c r="B135" t="s">
        <v>45</v>
      </c>
      <c r="C135">
        <v>0</v>
      </c>
      <c r="D135">
        <v>4.787386417388916</v>
      </c>
      <c r="E135">
        <v>1</v>
      </c>
      <c r="F135">
        <v>1</v>
      </c>
      <c r="G135">
        <v>1</v>
      </c>
      <c r="H135">
        <v>1</v>
      </c>
      <c r="I135">
        <v>1</v>
      </c>
      <c r="J135">
        <v>1</v>
      </c>
      <c r="K135">
        <v>0</v>
      </c>
      <c r="L135">
        <v>1</v>
      </c>
      <c r="M135">
        <v>1</v>
      </c>
      <c r="N135">
        <v>1</v>
      </c>
      <c r="O135">
        <v>1</v>
      </c>
      <c r="P135" t="s">
        <v>338</v>
      </c>
    </row>
    <row r="136" spans="1:16" x14ac:dyDescent="0.25">
      <c r="A136" t="s">
        <v>140</v>
      </c>
      <c r="B136" t="s">
        <v>46</v>
      </c>
      <c r="C136">
        <v>0</v>
      </c>
      <c r="D136">
        <v>10.655148506164551</v>
      </c>
      <c r="E136">
        <v>1</v>
      </c>
      <c r="F136">
        <v>1</v>
      </c>
      <c r="G136">
        <v>0</v>
      </c>
      <c r="H136" t="s">
        <v>22</v>
      </c>
      <c r="I136">
        <v>1</v>
      </c>
      <c r="J136">
        <v>1</v>
      </c>
      <c r="K136">
        <v>1</v>
      </c>
      <c r="L136">
        <v>1</v>
      </c>
      <c r="M136">
        <v>1</v>
      </c>
      <c r="N136">
        <v>1</v>
      </c>
      <c r="O136">
        <v>1</v>
      </c>
      <c r="P136" t="s">
        <v>339</v>
      </c>
    </row>
    <row r="137" spans="1:16" x14ac:dyDescent="0.25">
      <c r="A137" t="s">
        <v>140</v>
      </c>
      <c r="B137" t="s">
        <v>47</v>
      </c>
      <c r="C137">
        <v>0</v>
      </c>
      <c r="D137">
        <v>7.0241100788116464</v>
      </c>
      <c r="E137">
        <v>0</v>
      </c>
      <c r="F137" t="s">
        <v>22</v>
      </c>
      <c r="G137" t="s">
        <v>22</v>
      </c>
      <c r="H137" t="s">
        <v>22</v>
      </c>
      <c r="I137" t="s">
        <v>22</v>
      </c>
      <c r="J137" t="s">
        <v>22</v>
      </c>
      <c r="K137" t="s">
        <v>22</v>
      </c>
      <c r="L137" t="s">
        <v>22</v>
      </c>
      <c r="M137" t="s">
        <v>22</v>
      </c>
      <c r="N137" t="s">
        <v>22</v>
      </c>
      <c r="O137" t="s">
        <v>22</v>
      </c>
      <c r="P137" t="s">
        <v>340</v>
      </c>
    </row>
    <row r="138" spans="1:16" x14ac:dyDescent="0.25">
      <c r="A138" t="s">
        <v>140</v>
      </c>
      <c r="B138" t="s">
        <v>48</v>
      </c>
      <c r="C138">
        <v>0</v>
      </c>
      <c r="D138">
        <v>7.3600864410400391</v>
      </c>
      <c r="E138">
        <v>1</v>
      </c>
      <c r="F138">
        <v>0</v>
      </c>
      <c r="G138">
        <v>1</v>
      </c>
      <c r="H138" t="s">
        <v>22</v>
      </c>
      <c r="I138">
        <v>1</v>
      </c>
      <c r="J138" t="s">
        <v>22</v>
      </c>
      <c r="K138">
        <v>1</v>
      </c>
      <c r="L138">
        <v>1</v>
      </c>
      <c r="M138">
        <v>1</v>
      </c>
      <c r="N138">
        <v>1</v>
      </c>
      <c r="O138">
        <v>1</v>
      </c>
      <c r="P138" t="s">
        <v>341</v>
      </c>
    </row>
    <row r="139" spans="1:16" x14ac:dyDescent="0.25">
      <c r="A139" t="s">
        <v>140</v>
      </c>
      <c r="B139" t="s">
        <v>49</v>
      </c>
      <c r="C139">
        <v>0</v>
      </c>
      <c r="D139">
        <v>8.0849783420562744</v>
      </c>
      <c r="E139">
        <v>0</v>
      </c>
      <c r="F139" t="s">
        <v>22</v>
      </c>
      <c r="G139" t="s">
        <v>22</v>
      </c>
      <c r="H139" t="s">
        <v>22</v>
      </c>
      <c r="I139" t="s">
        <v>22</v>
      </c>
      <c r="J139" t="s">
        <v>22</v>
      </c>
      <c r="K139" t="s">
        <v>22</v>
      </c>
      <c r="L139" t="s">
        <v>22</v>
      </c>
      <c r="M139" t="s">
        <v>22</v>
      </c>
      <c r="N139" t="s">
        <v>22</v>
      </c>
      <c r="O139" t="s">
        <v>22</v>
      </c>
      <c r="P139" t="s">
        <v>342</v>
      </c>
    </row>
    <row r="140" spans="1:16" x14ac:dyDescent="0.25">
      <c r="A140" t="s">
        <v>140</v>
      </c>
      <c r="B140" t="s">
        <v>51</v>
      </c>
      <c r="C140">
        <v>0</v>
      </c>
      <c r="D140">
        <v>11.6963484287262</v>
      </c>
      <c r="E140">
        <v>1</v>
      </c>
      <c r="F140">
        <v>0</v>
      </c>
      <c r="G140">
        <v>1</v>
      </c>
      <c r="H140" t="s">
        <v>22</v>
      </c>
      <c r="I140">
        <v>1</v>
      </c>
      <c r="J140" t="s">
        <v>22</v>
      </c>
      <c r="K140">
        <v>1</v>
      </c>
      <c r="L140">
        <v>1</v>
      </c>
      <c r="M140">
        <v>1</v>
      </c>
      <c r="N140">
        <v>1</v>
      </c>
      <c r="O140">
        <v>1</v>
      </c>
      <c r="P140" t="s">
        <v>343</v>
      </c>
    </row>
    <row r="141" spans="1:16" x14ac:dyDescent="0.25">
      <c r="A141" t="s">
        <v>140</v>
      </c>
      <c r="B141" t="s">
        <v>53</v>
      </c>
      <c r="C141">
        <v>0</v>
      </c>
      <c r="D141">
        <v>2.8926632404327388</v>
      </c>
      <c r="E141">
        <v>1</v>
      </c>
      <c r="F141">
        <v>1</v>
      </c>
      <c r="G141">
        <v>1</v>
      </c>
      <c r="H141">
        <v>1</v>
      </c>
      <c r="I141">
        <v>1</v>
      </c>
      <c r="J141">
        <v>1</v>
      </c>
      <c r="K141">
        <v>1</v>
      </c>
      <c r="L141">
        <v>1</v>
      </c>
      <c r="M141">
        <v>1</v>
      </c>
      <c r="N141">
        <v>1</v>
      </c>
      <c r="O141">
        <v>1</v>
      </c>
    </row>
    <row r="142" spans="1:16" x14ac:dyDescent="0.25">
      <c r="A142" t="s">
        <v>140</v>
      </c>
      <c r="B142" t="s">
        <v>54</v>
      </c>
      <c r="C142">
        <v>0</v>
      </c>
      <c r="D142">
        <v>2.8718140125274658</v>
      </c>
      <c r="E142">
        <v>1</v>
      </c>
      <c r="F142">
        <v>1</v>
      </c>
      <c r="G142">
        <v>1</v>
      </c>
      <c r="H142">
        <v>1</v>
      </c>
      <c r="I142">
        <v>1</v>
      </c>
      <c r="J142">
        <v>1</v>
      </c>
      <c r="K142">
        <v>1</v>
      </c>
      <c r="L142">
        <v>1</v>
      </c>
      <c r="M142">
        <v>1</v>
      </c>
      <c r="N142">
        <v>1</v>
      </c>
      <c r="O142">
        <v>1</v>
      </c>
    </row>
    <row r="143" spans="1:16" x14ac:dyDescent="0.25">
      <c r="A143" t="s">
        <v>140</v>
      </c>
      <c r="B143" t="s">
        <v>56</v>
      </c>
      <c r="C143">
        <v>0</v>
      </c>
      <c r="D143">
        <v>5.3444066047668457</v>
      </c>
      <c r="E143">
        <v>1</v>
      </c>
      <c r="F143">
        <v>1</v>
      </c>
      <c r="G143">
        <v>0</v>
      </c>
      <c r="H143" t="s">
        <v>22</v>
      </c>
      <c r="I143">
        <v>1</v>
      </c>
      <c r="J143">
        <v>1</v>
      </c>
      <c r="K143">
        <v>1</v>
      </c>
      <c r="L143">
        <v>1</v>
      </c>
      <c r="M143">
        <v>1</v>
      </c>
      <c r="N143">
        <v>1</v>
      </c>
      <c r="O143">
        <v>1</v>
      </c>
      <c r="P143" t="s">
        <v>344</v>
      </c>
    </row>
    <row r="144" spans="1:16" x14ac:dyDescent="0.25">
      <c r="A144" t="s">
        <v>140</v>
      </c>
      <c r="B144" t="s">
        <v>58</v>
      </c>
      <c r="C144">
        <v>0</v>
      </c>
      <c r="D144">
        <v>2.9400825500488281</v>
      </c>
      <c r="E144">
        <v>1</v>
      </c>
      <c r="F144">
        <v>1</v>
      </c>
      <c r="G144">
        <v>1</v>
      </c>
      <c r="H144">
        <v>1</v>
      </c>
      <c r="I144">
        <v>1</v>
      </c>
      <c r="J144">
        <v>1</v>
      </c>
      <c r="K144">
        <v>1</v>
      </c>
      <c r="L144">
        <v>1</v>
      </c>
      <c r="M144">
        <v>1</v>
      </c>
      <c r="N144">
        <v>1</v>
      </c>
      <c r="O144">
        <v>1</v>
      </c>
    </row>
    <row r="145" spans="1:16" x14ac:dyDescent="0.25">
      <c r="A145" t="s">
        <v>140</v>
      </c>
      <c r="B145" t="s">
        <v>60</v>
      </c>
      <c r="C145">
        <v>0</v>
      </c>
      <c r="D145">
        <v>9.9177646636962891</v>
      </c>
      <c r="E145">
        <v>1</v>
      </c>
      <c r="F145">
        <v>1</v>
      </c>
      <c r="G145">
        <v>1</v>
      </c>
      <c r="H145">
        <v>1</v>
      </c>
      <c r="I145">
        <v>1</v>
      </c>
      <c r="J145">
        <v>1</v>
      </c>
      <c r="K145">
        <v>1</v>
      </c>
      <c r="L145">
        <v>1</v>
      </c>
      <c r="M145">
        <v>1</v>
      </c>
      <c r="N145">
        <v>1</v>
      </c>
      <c r="O145">
        <v>1</v>
      </c>
    </row>
    <row r="146" spans="1:16" x14ac:dyDescent="0.25">
      <c r="A146" t="s">
        <v>140</v>
      </c>
      <c r="B146" t="s">
        <v>62</v>
      </c>
      <c r="C146">
        <v>0</v>
      </c>
      <c r="D146">
        <v>6.9327387809753418</v>
      </c>
      <c r="E146">
        <v>1</v>
      </c>
      <c r="F146">
        <v>1</v>
      </c>
      <c r="G146">
        <v>1</v>
      </c>
      <c r="H146">
        <v>1</v>
      </c>
      <c r="I146">
        <v>1</v>
      </c>
      <c r="J146">
        <v>1</v>
      </c>
      <c r="K146">
        <v>1</v>
      </c>
      <c r="L146">
        <v>1</v>
      </c>
      <c r="M146">
        <v>1</v>
      </c>
      <c r="N146">
        <v>1</v>
      </c>
      <c r="O146">
        <v>1</v>
      </c>
    </row>
    <row r="147" spans="1:16" x14ac:dyDescent="0.25">
      <c r="A147" t="s">
        <v>140</v>
      </c>
      <c r="B147" t="s">
        <v>64</v>
      </c>
      <c r="C147">
        <v>0</v>
      </c>
      <c r="D147">
        <v>7.0136029720306396</v>
      </c>
      <c r="E147">
        <v>1</v>
      </c>
      <c r="F147">
        <v>0</v>
      </c>
      <c r="G147">
        <v>1</v>
      </c>
      <c r="H147" t="s">
        <v>22</v>
      </c>
      <c r="I147">
        <v>1</v>
      </c>
      <c r="J147" t="s">
        <v>22</v>
      </c>
      <c r="K147">
        <v>1</v>
      </c>
      <c r="L147">
        <v>1</v>
      </c>
      <c r="M147">
        <v>1</v>
      </c>
      <c r="N147">
        <v>1</v>
      </c>
      <c r="O147">
        <v>1</v>
      </c>
      <c r="P147" t="s">
        <v>345</v>
      </c>
    </row>
    <row r="148" spans="1:16" x14ac:dyDescent="0.25">
      <c r="A148" t="s">
        <v>140</v>
      </c>
      <c r="B148" t="s">
        <v>66</v>
      </c>
      <c r="C148">
        <v>0</v>
      </c>
      <c r="D148">
        <v>8.3311796188354492</v>
      </c>
      <c r="E148">
        <v>1</v>
      </c>
      <c r="F148">
        <v>1</v>
      </c>
      <c r="G148">
        <v>1</v>
      </c>
      <c r="H148">
        <v>1</v>
      </c>
      <c r="I148">
        <v>1</v>
      </c>
      <c r="J148">
        <v>1</v>
      </c>
      <c r="K148">
        <v>1</v>
      </c>
      <c r="L148">
        <v>1</v>
      </c>
      <c r="M148">
        <v>1</v>
      </c>
      <c r="N148">
        <v>1</v>
      </c>
      <c r="O148">
        <v>1</v>
      </c>
    </row>
    <row r="149" spans="1:16" x14ac:dyDescent="0.25">
      <c r="A149" t="s">
        <v>140</v>
      </c>
      <c r="B149" t="s">
        <v>67</v>
      </c>
      <c r="C149">
        <v>0</v>
      </c>
      <c r="D149">
        <v>10.55578351020813</v>
      </c>
      <c r="E149">
        <v>1</v>
      </c>
      <c r="F149">
        <v>1</v>
      </c>
      <c r="G149">
        <v>1</v>
      </c>
      <c r="H149">
        <v>1</v>
      </c>
      <c r="I149">
        <v>1</v>
      </c>
      <c r="J149">
        <v>1</v>
      </c>
      <c r="K149">
        <v>1</v>
      </c>
      <c r="L149">
        <v>1</v>
      </c>
      <c r="M149">
        <v>1</v>
      </c>
      <c r="N149">
        <v>1</v>
      </c>
      <c r="O149">
        <v>1</v>
      </c>
    </row>
    <row r="150" spans="1:16" x14ac:dyDescent="0.25">
      <c r="A150" t="s">
        <v>140</v>
      </c>
      <c r="B150" t="s">
        <v>69</v>
      </c>
      <c r="C150">
        <v>0</v>
      </c>
      <c r="D150">
        <v>8.7167155742645264</v>
      </c>
      <c r="E150">
        <v>1</v>
      </c>
      <c r="F150">
        <v>1</v>
      </c>
      <c r="G150">
        <v>1</v>
      </c>
      <c r="H150">
        <v>1</v>
      </c>
      <c r="I150">
        <v>1</v>
      </c>
      <c r="J150">
        <v>1</v>
      </c>
      <c r="K150">
        <v>1</v>
      </c>
      <c r="L150">
        <v>1</v>
      </c>
      <c r="M150">
        <v>1</v>
      </c>
      <c r="N150">
        <v>1</v>
      </c>
      <c r="O150">
        <v>1</v>
      </c>
    </row>
    <row r="151" spans="1:16" x14ac:dyDescent="0.25">
      <c r="A151" t="s">
        <v>140</v>
      </c>
      <c r="B151" t="s">
        <v>70</v>
      </c>
      <c r="C151">
        <v>0</v>
      </c>
      <c r="D151">
        <v>2.8850419521331792</v>
      </c>
      <c r="E151">
        <v>1</v>
      </c>
      <c r="F151">
        <v>1</v>
      </c>
      <c r="G151">
        <v>1</v>
      </c>
      <c r="H151">
        <v>1</v>
      </c>
      <c r="I151">
        <v>1</v>
      </c>
      <c r="J151">
        <v>1</v>
      </c>
      <c r="K151">
        <v>1</v>
      </c>
      <c r="L151">
        <v>1</v>
      </c>
      <c r="M151">
        <v>1</v>
      </c>
      <c r="N151">
        <v>1</v>
      </c>
      <c r="O151">
        <v>1</v>
      </c>
    </row>
    <row r="152" spans="1:16" x14ac:dyDescent="0.25">
      <c r="A152" t="s">
        <v>140</v>
      </c>
      <c r="B152" t="s">
        <v>71</v>
      </c>
      <c r="C152">
        <v>0</v>
      </c>
      <c r="D152">
        <v>9.8499040603637695</v>
      </c>
      <c r="E152">
        <v>1</v>
      </c>
      <c r="F152">
        <v>1</v>
      </c>
      <c r="G152">
        <v>1</v>
      </c>
      <c r="H152">
        <v>1</v>
      </c>
      <c r="I152">
        <v>1</v>
      </c>
      <c r="J152">
        <v>1</v>
      </c>
      <c r="K152">
        <v>1</v>
      </c>
      <c r="L152">
        <v>1</v>
      </c>
      <c r="M152">
        <v>1</v>
      </c>
      <c r="N152">
        <v>1</v>
      </c>
      <c r="O152">
        <v>1</v>
      </c>
    </row>
    <row r="153" spans="1:16" x14ac:dyDescent="0.25">
      <c r="A153" t="s">
        <v>140</v>
      </c>
      <c r="B153" t="s">
        <v>73</v>
      </c>
      <c r="C153">
        <v>0</v>
      </c>
      <c r="D153">
        <v>9.6108152866363525</v>
      </c>
      <c r="E153">
        <v>1</v>
      </c>
      <c r="F153">
        <v>1</v>
      </c>
      <c r="G153">
        <v>1</v>
      </c>
      <c r="H153">
        <v>1</v>
      </c>
      <c r="I153">
        <v>1</v>
      </c>
      <c r="J153">
        <v>1</v>
      </c>
      <c r="K153">
        <v>1</v>
      </c>
      <c r="L153">
        <v>1</v>
      </c>
      <c r="M153">
        <v>1</v>
      </c>
      <c r="N153">
        <v>1</v>
      </c>
      <c r="O153">
        <v>1</v>
      </c>
    </row>
    <row r="154" spans="1:16" x14ac:dyDescent="0.25">
      <c r="A154" t="s">
        <v>140</v>
      </c>
      <c r="B154" t="s">
        <v>75</v>
      </c>
      <c r="C154">
        <v>0</v>
      </c>
      <c r="D154">
        <v>2.8948972225189209</v>
      </c>
      <c r="E154">
        <v>1</v>
      </c>
      <c r="F154">
        <v>1</v>
      </c>
      <c r="G154">
        <v>1</v>
      </c>
      <c r="H154">
        <v>1</v>
      </c>
      <c r="I154">
        <v>1</v>
      </c>
      <c r="J154">
        <v>1</v>
      </c>
      <c r="K154">
        <v>1</v>
      </c>
      <c r="L154">
        <v>1</v>
      </c>
      <c r="M154">
        <v>1</v>
      </c>
      <c r="N154">
        <v>1</v>
      </c>
      <c r="O154">
        <v>1</v>
      </c>
    </row>
    <row r="155" spans="1:16" x14ac:dyDescent="0.25">
      <c r="A155" t="s">
        <v>140</v>
      </c>
      <c r="B155" t="s">
        <v>77</v>
      </c>
      <c r="C155">
        <v>0</v>
      </c>
      <c r="D155">
        <v>10.3695502281189</v>
      </c>
      <c r="E155">
        <v>1</v>
      </c>
      <c r="F155">
        <v>1</v>
      </c>
      <c r="G155">
        <v>1</v>
      </c>
      <c r="H155">
        <v>1</v>
      </c>
      <c r="I155">
        <v>1</v>
      </c>
      <c r="J155">
        <v>1</v>
      </c>
      <c r="K155">
        <v>1</v>
      </c>
      <c r="L155">
        <v>1</v>
      </c>
      <c r="M155">
        <v>1</v>
      </c>
      <c r="N155">
        <v>1</v>
      </c>
      <c r="O155">
        <v>1</v>
      </c>
    </row>
    <row r="156" spans="1:16" x14ac:dyDescent="0.25">
      <c r="A156" t="s">
        <v>140</v>
      </c>
      <c r="B156" t="s">
        <v>79</v>
      </c>
      <c r="C156">
        <v>0</v>
      </c>
      <c r="D156">
        <v>10.68840861320496</v>
      </c>
      <c r="E156">
        <v>0</v>
      </c>
      <c r="F156" t="s">
        <v>22</v>
      </c>
      <c r="G156" t="s">
        <v>22</v>
      </c>
      <c r="H156" t="s">
        <v>22</v>
      </c>
      <c r="I156" t="s">
        <v>22</v>
      </c>
      <c r="J156" t="s">
        <v>22</v>
      </c>
      <c r="K156" t="s">
        <v>22</v>
      </c>
      <c r="L156" t="s">
        <v>22</v>
      </c>
      <c r="M156" t="s">
        <v>22</v>
      </c>
      <c r="N156" t="s">
        <v>22</v>
      </c>
      <c r="O156" t="s">
        <v>22</v>
      </c>
      <c r="P156" t="s">
        <v>346</v>
      </c>
    </row>
    <row r="157" spans="1:16" x14ac:dyDescent="0.25">
      <c r="A157" t="s">
        <v>140</v>
      </c>
      <c r="B157" t="s">
        <v>81</v>
      </c>
      <c r="C157">
        <v>0</v>
      </c>
      <c r="D157">
        <v>7.4760310649871826</v>
      </c>
      <c r="E157">
        <v>1</v>
      </c>
      <c r="F157">
        <v>1</v>
      </c>
      <c r="G157">
        <v>1</v>
      </c>
      <c r="H157">
        <v>1</v>
      </c>
      <c r="I157">
        <v>1</v>
      </c>
      <c r="J157">
        <v>0</v>
      </c>
      <c r="K157">
        <v>1</v>
      </c>
      <c r="L157">
        <v>1</v>
      </c>
      <c r="M157">
        <v>1</v>
      </c>
      <c r="N157">
        <v>1</v>
      </c>
      <c r="O157">
        <v>1</v>
      </c>
      <c r="P157" t="s">
        <v>347</v>
      </c>
    </row>
    <row r="158" spans="1:16" x14ac:dyDescent="0.25">
      <c r="A158" t="s">
        <v>140</v>
      </c>
      <c r="B158" t="s">
        <v>83</v>
      </c>
      <c r="C158">
        <v>0</v>
      </c>
      <c r="D158">
        <v>9.1982748508453369</v>
      </c>
      <c r="E158">
        <v>1</v>
      </c>
      <c r="F158">
        <v>1</v>
      </c>
      <c r="G158">
        <v>1</v>
      </c>
      <c r="H158">
        <v>1</v>
      </c>
      <c r="I158">
        <v>1</v>
      </c>
      <c r="J158">
        <v>0</v>
      </c>
      <c r="K158">
        <v>1</v>
      </c>
      <c r="L158">
        <v>1</v>
      </c>
      <c r="M158">
        <v>1</v>
      </c>
      <c r="N158">
        <v>1</v>
      </c>
      <c r="O158">
        <v>1</v>
      </c>
      <c r="P158" t="s">
        <v>348</v>
      </c>
    </row>
    <row r="159" spans="1:16" x14ac:dyDescent="0.25">
      <c r="A159" t="s">
        <v>140</v>
      </c>
      <c r="B159" t="s">
        <v>85</v>
      </c>
      <c r="C159">
        <v>0</v>
      </c>
      <c r="D159">
        <v>5.4422414302825928</v>
      </c>
      <c r="E159">
        <v>1</v>
      </c>
      <c r="F159">
        <v>1</v>
      </c>
      <c r="G159">
        <v>1</v>
      </c>
      <c r="H159">
        <v>1</v>
      </c>
      <c r="I159">
        <v>1</v>
      </c>
      <c r="J159">
        <v>0</v>
      </c>
      <c r="K159">
        <v>1</v>
      </c>
      <c r="L159">
        <v>1</v>
      </c>
      <c r="M159">
        <v>1</v>
      </c>
      <c r="N159">
        <v>1</v>
      </c>
      <c r="O159">
        <v>1</v>
      </c>
      <c r="P159" t="s">
        <v>349</v>
      </c>
    </row>
    <row r="160" spans="1:16" x14ac:dyDescent="0.25">
      <c r="A160" t="s">
        <v>140</v>
      </c>
      <c r="B160" t="s">
        <v>87</v>
      </c>
      <c r="C160">
        <v>0</v>
      </c>
      <c r="D160">
        <v>5.1262502670288086</v>
      </c>
      <c r="E160">
        <v>0</v>
      </c>
      <c r="F160" t="s">
        <v>22</v>
      </c>
      <c r="G160" t="s">
        <v>22</v>
      </c>
      <c r="H160" t="s">
        <v>22</v>
      </c>
      <c r="I160" t="s">
        <v>22</v>
      </c>
      <c r="J160" t="s">
        <v>22</v>
      </c>
      <c r="K160" t="s">
        <v>22</v>
      </c>
      <c r="L160" t="s">
        <v>22</v>
      </c>
      <c r="M160" t="s">
        <v>22</v>
      </c>
      <c r="N160" t="s">
        <v>22</v>
      </c>
      <c r="O160" t="s">
        <v>22</v>
      </c>
      <c r="P160" t="s">
        <v>350</v>
      </c>
    </row>
    <row r="161" spans="1:16" x14ac:dyDescent="0.25">
      <c r="A161" t="s">
        <v>140</v>
      </c>
      <c r="B161" t="s">
        <v>89</v>
      </c>
      <c r="C161">
        <v>0</v>
      </c>
      <c r="D161">
        <v>5.2633585929870614</v>
      </c>
      <c r="E161">
        <v>1</v>
      </c>
      <c r="F161">
        <v>1</v>
      </c>
      <c r="G161">
        <v>1</v>
      </c>
      <c r="H161">
        <v>1</v>
      </c>
      <c r="I161">
        <v>1</v>
      </c>
      <c r="J161">
        <v>0</v>
      </c>
      <c r="K161">
        <v>1</v>
      </c>
      <c r="L161">
        <v>1</v>
      </c>
      <c r="M161">
        <v>1</v>
      </c>
      <c r="N161">
        <v>1</v>
      </c>
      <c r="O161">
        <v>1</v>
      </c>
      <c r="P161" t="s">
        <v>351</v>
      </c>
    </row>
    <row r="162" spans="1:16" x14ac:dyDescent="0.25">
      <c r="A162" t="s">
        <v>140</v>
      </c>
      <c r="B162" t="s">
        <v>90</v>
      </c>
      <c r="C162">
        <v>0</v>
      </c>
      <c r="D162">
        <v>11.69458675384521</v>
      </c>
      <c r="E162">
        <v>1</v>
      </c>
      <c r="F162">
        <v>1</v>
      </c>
      <c r="G162">
        <v>1</v>
      </c>
      <c r="H162">
        <v>1</v>
      </c>
      <c r="I162">
        <v>1</v>
      </c>
      <c r="J162">
        <v>0</v>
      </c>
      <c r="K162">
        <v>1</v>
      </c>
      <c r="L162">
        <v>1</v>
      </c>
      <c r="M162">
        <v>1</v>
      </c>
      <c r="N162">
        <v>1</v>
      </c>
      <c r="O162">
        <v>1</v>
      </c>
      <c r="P162" t="s">
        <v>352</v>
      </c>
    </row>
    <row r="163" spans="1:16" x14ac:dyDescent="0.25">
      <c r="A163" t="s">
        <v>140</v>
      </c>
      <c r="B163" t="s">
        <v>115</v>
      </c>
      <c r="C163">
        <v>0</v>
      </c>
      <c r="D163">
        <v>11.216516256332399</v>
      </c>
      <c r="E163">
        <v>1</v>
      </c>
      <c r="F163">
        <v>1</v>
      </c>
      <c r="G163">
        <v>1</v>
      </c>
      <c r="H163">
        <v>1</v>
      </c>
      <c r="I163">
        <v>1</v>
      </c>
      <c r="J163">
        <v>0</v>
      </c>
      <c r="K163">
        <v>1</v>
      </c>
      <c r="L163">
        <v>1</v>
      </c>
      <c r="M163">
        <v>1</v>
      </c>
      <c r="N163">
        <v>1</v>
      </c>
      <c r="O163">
        <v>1</v>
      </c>
      <c r="P163" t="s">
        <v>353</v>
      </c>
    </row>
    <row r="164" spans="1:16" x14ac:dyDescent="0.25">
      <c r="A164" t="s">
        <v>140</v>
      </c>
      <c r="B164" t="s">
        <v>117</v>
      </c>
      <c r="C164">
        <v>0</v>
      </c>
      <c r="D164">
        <v>5.7016191482543954</v>
      </c>
      <c r="E164">
        <v>1</v>
      </c>
      <c r="F164">
        <v>1</v>
      </c>
      <c r="G164">
        <v>1</v>
      </c>
      <c r="H164">
        <v>1</v>
      </c>
      <c r="I164">
        <v>1</v>
      </c>
      <c r="J164">
        <v>0</v>
      </c>
      <c r="K164">
        <v>1</v>
      </c>
      <c r="L164">
        <v>1</v>
      </c>
      <c r="M164">
        <v>1</v>
      </c>
      <c r="N164">
        <v>1</v>
      </c>
      <c r="O164">
        <v>1</v>
      </c>
      <c r="P164" t="s">
        <v>354</v>
      </c>
    </row>
    <row r="165" spans="1:16" x14ac:dyDescent="0.25">
      <c r="A165" t="s">
        <v>140</v>
      </c>
      <c r="B165" t="s">
        <v>119</v>
      </c>
      <c r="C165">
        <v>0</v>
      </c>
      <c r="D165">
        <v>11.14501023292542</v>
      </c>
      <c r="E165">
        <v>1</v>
      </c>
      <c r="F165">
        <v>1</v>
      </c>
      <c r="G165">
        <v>1</v>
      </c>
      <c r="H165">
        <v>1</v>
      </c>
      <c r="I165">
        <v>1</v>
      </c>
      <c r="J165">
        <v>0</v>
      </c>
      <c r="K165">
        <v>1</v>
      </c>
      <c r="L165">
        <v>1</v>
      </c>
      <c r="M165">
        <v>1</v>
      </c>
      <c r="N165">
        <v>1</v>
      </c>
      <c r="O165">
        <v>1</v>
      </c>
      <c r="P165" t="s">
        <v>355</v>
      </c>
    </row>
    <row r="166" spans="1:16" x14ac:dyDescent="0.25">
      <c r="A166" t="s">
        <v>140</v>
      </c>
      <c r="B166" t="s">
        <v>121</v>
      </c>
      <c r="C166">
        <v>0</v>
      </c>
      <c r="D166">
        <v>4.4416892528533944</v>
      </c>
      <c r="E166">
        <v>1</v>
      </c>
      <c r="F166">
        <v>1</v>
      </c>
      <c r="G166">
        <v>1</v>
      </c>
      <c r="H166">
        <v>1</v>
      </c>
      <c r="I166">
        <v>1</v>
      </c>
      <c r="J166">
        <v>0</v>
      </c>
      <c r="K166">
        <v>1</v>
      </c>
      <c r="L166">
        <v>1</v>
      </c>
      <c r="M166">
        <v>1</v>
      </c>
      <c r="N166">
        <v>1</v>
      </c>
      <c r="O166">
        <v>1</v>
      </c>
      <c r="P166" t="s">
        <v>356</v>
      </c>
    </row>
    <row r="167" spans="1:16" x14ac:dyDescent="0.25">
      <c r="A167" t="s">
        <v>140</v>
      </c>
      <c r="B167" t="s">
        <v>122</v>
      </c>
      <c r="C167">
        <v>0</v>
      </c>
      <c r="D167">
        <v>11.359204053878781</v>
      </c>
      <c r="E167">
        <v>1</v>
      </c>
      <c r="F167">
        <v>1</v>
      </c>
      <c r="G167">
        <v>1</v>
      </c>
      <c r="H167">
        <v>1</v>
      </c>
      <c r="I167">
        <v>1</v>
      </c>
      <c r="J167">
        <v>0</v>
      </c>
      <c r="K167">
        <v>1</v>
      </c>
      <c r="L167">
        <v>1</v>
      </c>
      <c r="M167">
        <v>1</v>
      </c>
      <c r="N167">
        <v>1</v>
      </c>
      <c r="O167">
        <v>1</v>
      </c>
      <c r="P167" t="s">
        <v>357</v>
      </c>
    </row>
    <row r="168" spans="1:16" x14ac:dyDescent="0.25">
      <c r="A168" t="s">
        <v>140</v>
      </c>
      <c r="B168" t="s">
        <v>124</v>
      </c>
      <c r="C168">
        <v>0</v>
      </c>
      <c r="D168">
        <v>8.2232024669647217</v>
      </c>
      <c r="E168">
        <v>1</v>
      </c>
      <c r="F168">
        <v>1</v>
      </c>
      <c r="G168">
        <v>1</v>
      </c>
      <c r="H168">
        <v>1</v>
      </c>
      <c r="I168">
        <v>1</v>
      </c>
      <c r="J168">
        <v>0</v>
      </c>
      <c r="K168">
        <v>1</v>
      </c>
      <c r="L168">
        <v>1</v>
      </c>
      <c r="M168">
        <v>1</v>
      </c>
      <c r="N168">
        <v>1</v>
      </c>
      <c r="O168">
        <v>1</v>
      </c>
      <c r="P168" t="s">
        <v>358</v>
      </c>
    </row>
    <row r="169" spans="1:16" x14ac:dyDescent="0.25">
      <c r="A169" t="s">
        <v>140</v>
      </c>
      <c r="B169" t="s">
        <v>126</v>
      </c>
      <c r="C169">
        <v>0</v>
      </c>
      <c r="D169">
        <v>11.66932249069214</v>
      </c>
      <c r="E169">
        <v>1</v>
      </c>
      <c r="F169">
        <v>1</v>
      </c>
      <c r="G169">
        <v>1</v>
      </c>
      <c r="H169">
        <v>1</v>
      </c>
      <c r="I169">
        <v>1</v>
      </c>
      <c r="J169">
        <v>0</v>
      </c>
      <c r="K169">
        <v>1</v>
      </c>
      <c r="L169">
        <v>1</v>
      </c>
      <c r="M169">
        <v>1</v>
      </c>
      <c r="N169">
        <v>1</v>
      </c>
      <c r="O169">
        <v>1</v>
      </c>
      <c r="P169" t="s">
        <v>359</v>
      </c>
    </row>
    <row r="170" spans="1:16" x14ac:dyDescent="0.25">
      <c r="A170" t="s">
        <v>140</v>
      </c>
      <c r="B170" t="s">
        <v>128</v>
      </c>
      <c r="C170">
        <v>0</v>
      </c>
      <c r="D170">
        <v>12.201703786849979</v>
      </c>
      <c r="E170">
        <v>1</v>
      </c>
      <c r="F170">
        <v>1</v>
      </c>
      <c r="G170">
        <v>1</v>
      </c>
      <c r="H170">
        <v>0</v>
      </c>
      <c r="I170">
        <v>1</v>
      </c>
      <c r="J170">
        <v>0</v>
      </c>
      <c r="K170">
        <v>1</v>
      </c>
      <c r="L170">
        <v>1</v>
      </c>
      <c r="M170">
        <v>1</v>
      </c>
      <c r="N170">
        <v>1</v>
      </c>
      <c r="O170">
        <v>1</v>
      </c>
      <c r="P170" t="s">
        <v>360</v>
      </c>
    </row>
    <row r="171" spans="1:16" x14ac:dyDescent="0.25">
      <c r="A171" t="s">
        <v>140</v>
      </c>
      <c r="B171" t="s">
        <v>130</v>
      </c>
      <c r="C171">
        <v>0</v>
      </c>
      <c r="D171">
        <v>4.8984823226928711</v>
      </c>
      <c r="E171">
        <v>1</v>
      </c>
      <c r="F171">
        <v>1</v>
      </c>
      <c r="G171">
        <v>1</v>
      </c>
      <c r="H171">
        <v>1</v>
      </c>
      <c r="I171">
        <v>1</v>
      </c>
      <c r="J171">
        <v>0</v>
      </c>
      <c r="K171">
        <v>1</v>
      </c>
      <c r="L171">
        <v>1</v>
      </c>
      <c r="M171">
        <v>1</v>
      </c>
      <c r="N171">
        <v>1</v>
      </c>
      <c r="O171">
        <v>1</v>
      </c>
      <c r="P171" t="s">
        <v>361</v>
      </c>
    </row>
    <row r="172" spans="1:16" x14ac:dyDescent="0.25">
      <c r="A172" t="s">
        <v>140</v>
      </c>
      <c r="B172" t="s">
        <v>131</v>
      </c>
      <c r="C172">
        <v>0</v>
      </c>
      <c r="D172">
        <v>13.228636264801031</v>
      </c>
      <c r="E172">
        <v>1</v>
      </c>
      <c r="F172">
        <v>1</v>
      </c>
      <c r="G172">
        <v>1</v>
      </c>
      <c r="H172">
        <v>1</v>
      </c>
      <c r="I172">
        <v>1</v>
      </c>
      <c r="J172">
        <v>0</v>
      </c>
      <c r="K172">
        <v>0</v>
      </c>
      <c r="L172">
        <v>1</v>
      </c>
      <c r="M172">
        <v>1</v>
      </c>
      <c r="N172">
        <v>1</v>
      </c>
      <c r="O172">
        <v>1</v>
      </c>
      <c r="P172" t="s">
        <v>362</v>
      </c>
    </row>
    <row r="173" spans="1:16" x14ac:dyDescent="0.25">
      <c r="A173" t="s">
        <v>140</v>
      </c>
      <c r="B173" t="s">
        <v>133</v>
      </c>
      <c r="C173">
        <v>0</v>
      </c>
      <c r="D173">
        <v>5.6561470031738281</v>
      </c>
      <c r="E173">
        <v>0</v>
      </c>
      <c r="F173" t="s">
        <v>22</v>
      </c>
      <c r="G173" t="s">
        <v>22</v>
      </c>
      <c r="H173" t="s">
        <v>22</v>
      </c>
      <c r="I173" t="s">
        <v>22</v>
      </c>
      <c r="J173" t="s">
        <v>22</v>
      </c>
      <c r="K173" t="s">
        <v>22</v>
      </c>
      <c r="L173" t="s">
        <v>22</v>
      </c>
      <c r="M173" t="s">
        <v>22</v>
      </c>
      <c r="N173" t="s">
        <v>22</v>
      </c>
      <c r="O173" t="s">
        <v>22</v>
      </c>
      <c r="P173" t="s">
        <v>363</v>
      </c>
    </row>
    <row r="174" spans="1:16" x14ac:dyDescent="0.25">
      <c r="A174" t="s">
        <v>140</v>
      </c>
      <c r="B174" t="s">
        <v>135</v>
      </c>
      <c r="C174">
        <v>0</v>
      </c>
      <c r="D174">
        <v>13.512872457504271</v>
      </c>
      <c r="E174">
        <v>1</v>
      </c>
      <c r="F174">
        <v>1</v>
      </c>
      <c r="G174">
        <v>1</v>
      </c>
      <c r="H174">
        <v>1</v>
      </c>
      <c r="I174">
        <v>1</v>
      </c>
      <c r="J174">
        <v>0</v>
      </c>
      <c r="K174">
        <v>1</v>
      </c>
      <c r="L174">
        <v>1</v>
      </c>
      <c r="M174">
        <v>1</v>
      </c>
      <c r="N174">
        <v>1</v>
      </c>
      <c r="O174">
        <v>1</v>
      </c>
      <c r="P174" t="s">
        <v>364</v>
      </c>
    </row>
    <row r="175" spans="1:16" x14ac:dyDescent="0.25">
      <c r="A175" t="s">
        <v>140</v>
      </c>
      <c r="B175" t="s">
        <v>137</v>
      </c>
      <c r="C175">
        <v>0</v>
      </c>
      <c r="D175">
        <v>13.49610376358032</v>
      </c>
      <c r="E175">
        <v>1</v>
      </c>
      <c r="F175">
        <v>1</v>
      </c>
      <c r="G175">
        <v>1</v>
      </c>
      <c r="H175">
        <v>1</v>
      </c>
      <c r="I175">
        <v>1</v>
      </c>
      <c r="J175">
        <v>0</v>
      </c>
      <c r="K175">
        <v>1</v>
      </c>
      <c r="L175">
        <v>1</v>
      </c>
      <c r="M175">
        <v>1</v>
      </c>
      <c r="N175">
        <v>1</v>
      </c>
      <c r="O175">
        <v>1</v>
      </c>
      <c r="P175" t="s">
        <v>365</v>
      </c>
    </row>
    <row r="176" spans="1:16" x14ac:dyDescent="0.25">
      <c r="A176" t="s">
        <v>140</v>
      </c>
      <c r="B176" t="s">
        <v>138</v>
      </c>
      <c r="C176">
        <v>0</v>
      </c>
      <c r="D176">
        <v>9.8076069355010986</v>
      </c>
      <c r="E176">
        <v>1</v>
      </c>
      <c r="F176">
        <v>1</v>
      </c>
      <c r="G176">
        <v>1</v>
      </c>
      <c r="H176">
        <v>1</v>
      </c>
      <c r="I176">
        <v>1</v>
      </c>
      <c r="J176">
        <v>1</v>
      </c>
      <c r="K176">
        <v>1</v>
      </c>
      <c r="L176">
        <v>1</v>
      </c>
      <c r="M176">
        <v>1</v>
      </c>
      <c r="N176">
        <v>1</v>
      </c>
      <c r="O176">
        <v>1</v>
      </c>
    </row>
    <row r="177" spans="1:16" x14ac:dyDescent="0.25">
      <c r="A177" t="s">
        <v>140</v>
      </c>
      <c r="B177" t="s">
        <v>174</v>
      </c>
      <c r="C177">
        <v>0</v>
      </c>
      <c r="D177">
        <v>14.71656560897827</v>
      </c>
      <c r="E177">
        <v>1</v>
      </c>
      <c r="F177">
        <v>1</v>
      </c>
      <c r="G177">
        <v>1</v>
      </c>
      <c r="H177">
        <v>1</v>
      </c>
      <c r="I177">
        <v>1</v>
      </c>
      <c r="J177">
        <v>0</v>
      </c>
      <c r="K177">
        <v>1</v>
      </c>
      <c r="L177">
        <v>1</v>
      </c>
      <c r="M177">
        <v>1</v>
      </c>
      <c r="N177">
        <v>1</v>
      </c>
      <c r="O177">
        <v>1</v>
      </c>
      <c r="P177" t="s">
        <v>366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77"/>
  <sheetViews>
    <sheetView topLeftCell="A166" workbookViewId="0"/>
  </sheetViews>
  <sheetFormatPr defaultRowHeight="13.8" x14ac:dyDescent="0.25"/>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t="s">
        <v>16</v>
      </c>
      <c r="B2" t="s">
        <v>17</v>
      </c>
      <c r="C2">
        <v>0</v>
      </c>
      <c r="D2">
        <v>9.1908042430877686</v>
      </c>
      <c r="E2">
        <v>1</v>
      </c>
      <c r="F2">
        <v>1</v>
      </c>
      <c r="G2">
        <v>1</v>
      </c>
      <c r="H2">
        <v>1</v>
      </c>
      <c r="I2">
        <v>1</v>
      </c>
      <c r="J2">
        <v>1</v>
      </c>
      <c r="K2">
        <v>1</v>
      </c>
      <c r="L2">
        <v>1</v>
      </c>
      <c r="M2">
        <v>1</v>
      </c>
      <c r="N2">
        <v>1</v>
      </c>
      <c r="O2">
        <v>1</v>
      </c>
    </row>
    <row r="3" spans="1:16" x14ac:dyDescent="0.25">
      <c r="A3" t="s">
        <v>16</v>
      </c>
      <c r="B3" t="s">
        <v>19</v>
      </c>
      <c r="C3">
        <v>0</v>
      </c>
      <c r="D3">
        <v>9.6037318706512451</v>
      </c>
      <c r="E3">
        <v>1</v>
      </c>
      <c r="F3">
        <v>1</v>
      </c>
      <c r="G3">
        <v>1</v>
      </c>
      <c r="H3">
        <v>1</v>
      </c>
      <c r="I3">
        <v>1</v>
      </c>
      <c r="J3">
        <v>1</v>
      </c>
      <c r="K3">
        <v>1</v>
      </c>
      <c r="L3">
        <v>1</v>
      </c>
      <c r="M3">
        <v>1</v>
      </c>
      <c r="N3">
        <v>1</v>
      </c>
      <c r="O3">
        <v>1</v>
      </c>
    </row>
    <row r="4" spans="1:16" x14ac:dyDescent="0.25">
      <c r="A4" t="s">
        <v>16</v>
      </c>
      <c r="B4" t="s">
        <v>20</v>
      </c>
      <c r="C4">
        <v>0</v>
      </c>
      <c r="D4">
        <v>11.292465209960939</v>
      </c>
      <c r="E4">
        <v>1</v>
      </c>
      <c r="F4">
        <v>1</v>
      </c>
      <c r="G4">
        <v>1</v>
      </c>
      <c r="H4">
        <v>1</v>
      </c>
      <c r="I4">
        <v>1</v>
      </c>
      <c r="J4">
        <v>1</v>
      </c>
      <c r="K4">
        <v>1</v>
      </c>
      <c r="L4">
        <v>1</v>
      </c>
      <c r="M4">
        <v>1</v>
      </c>
      <c r="N4">
        <v>1</v>
      </c>
      <c r="O4">
        <v>1</v>
      </c>
    </row>
    <row r="5" spans="1:16" x14ac:dyDescent="0.25">
      <c r="A5" t="s">
        <v>16</v>
      </c>
      <c r="B5" t="s">
        <v>21</v>
      </c>
      <c r="C5">
        <v>0</v>
      </c>
      <c r="D5">
        <v>6.7262768745422363</v>
      </c>
      <c r="E5">
        <v>1</v>
      </c>
      <c r="F5">
        <v>0</v>
      </c>
      <c r="G5">
        <v>1</v>
      </c>
      <c r="H5" t="s">
        <v>22</v>
      </c>
      <c r="I5">
        <v>1</v>
      </c>
      <c r="J5" t="s">
        <v>22</v>
      </c>
      <c r="K5">
        <v>1</v>
      </c>
      <c r="L5">
        <v>1</v>
      </c>
      <c r="M5">
        <v>1</v>
      </c>
      <c r="N5">
        <v>1</v>
      </c>
      <c r="O5">
        <v>1</v>
      </c>
      <c r="P5" t="s">
        <v>367</v>
      </c>
    </row>
    <row r="6" spans="1:16" x14ac:dyDescent="0.25">
      <c r="A6" t="s">
        <v>16</v>
      </c>
      <c r="B6" t="s">
        <v>24</v>
      </c>
      <c r="C6">
        <v>0</v>
      </c>
      <c r="D6">
        <v>3.0333809852600102</v>
      </c>
      <c r="E6">
        <v>1</v>
      </c>
      <c r="F6">
        <v>1</v>
      </c>
      <c r="G6">
        <v>1</v>
      </c>
      <c r="H6">
        <v>1</v>
      </c>
      <c r="I6">
        <v>1</v>
      </c>
      <c r="J6">
        <v>1</v>
      </c>
      <c r="K6">
        <v>1</v>
      </c>
      <c r="L6">
        <v>1</v>
      </c>
      <c r="M6">
        <v>1</v>
      </c>
      <c r="N6">
        <v>1</v>
      </c>
      <c r="O6">
        <v>1</v>
      </c>
    </row>
    <row r="7" spans="1:16" x14ac:dyDescent="0.25">
      <c r="A7" t="s">
        <v>16</v>
      </c>
      <c r="B7" t="s">
        <v>25</v>
      </c>
      <c r="C7">
        <v>0</v>
      </c>
      <c r="D7">
        <v>2.8941857814788818</v>
      </c>
      <c r="E7">
        <v>1</v>
      </c>
      <c r="F7">
        <v>1</v>
      </c>
      <c r="G7">
        <v>1</v>
      </c>
      <c r="H7">
        <v>1</v>
      </c>
      <c r="I7">
        <v>1</v>
      </c>
      <c r="J7">
        <v>1</v>
      </c>
      <c r="K7">
        <v>1</v>
      </c>
      <c r="L7">
        <v>1</v>
      </c>
      <c r="M7">
        <v>1</v>
      </c>
      <c r="N7">
        <v>1</v>
      </c>
      <c r="O7">
        <v>1</v>
      </c>
    </row>
    <row r="8" spans="1:16" x14ac:dyDescent="0.25">
      <c r="A8" t="s">
        <v>16</v>
      </c>
      <c r="B8" t="s">
        <v>26</v>
      </c>
      <c r="C8">
        <v>0</v>
      </c>
      <c r="D8">
        <v>9.8123996257781982</v>
      </c>
      <c r="E8">
        <v>1</v>
      </c>
      <c r="F8">
        <v>1</v>
      </c>
      <c r="G8">
        <v>1</v>
      </c>
      <c r="H8">
        <v>1</v>
      </c>
      <c r="I8">
        <v>1</v>
      </c>
      <c r="J8">
        <v>1</v>
      </c>
      <c r="K8">
        <v>1</v>
      </c>
      <c r="L8">
        <v>1</v>
      </c>
      <c r="M8">
        <v>1</v>
      </c>
      <c r="N8">
        <v>1</v>
      </c>
      <c r="O8">
        <v>1</v>
      </c>
    </row>
    <row r="9" spans="1:16" x14ac:dyDescent="0.25">
      <c r="A9" t="s">
        <v>16</v>
      </c>
      <c r="B9" t="s">
        <v>27</v>
      </c>
      <c r="C9">
        <v>0</v>
      </c>
      <c r="D9">
        <v>9.64715576171875</v>
      </c>
      <c r="E9">
        <v>1</v>
      </c>
      <c r="F9">
        <v>1</v>
      </c>
      <c r="G9">
        <v>1</v>
      </c>
      <c r="H9">
        <v>1</v>
      </c>
      <c r="I9">
        <v>1</v>
      </c>
      <c r="J9">
        <v>1</v>
      </c>
      <c r="K9">
        <v>1</v>
      </c>
      <c r="L9">
        <v>1</v>
      </c>
      <c r="M9">
        <v>1</v>
      </c>
      <c r="N9">
        <v>1</v>
      </c>
      <c r="O9">
        <v>1</v>
      </c>
    </row>
    <row r="10" spans="1:16" x14ac:dyDescent="0.25">
      <c r="A10" t="s">
        <v>16</v>
      </c>
      <c r="B10" t="s">
        <v>28</v>
      </c>
      <c r="C10">
        <v>0</v>
      </c>
      <c r="D10">
        <v>2.9008126258850102</v>
      </c>
      <c r="E10">
        <v>1</v>
      </c>
      <c r="F10">
        <v>1</v>
      </c>
      <c r="G10">
        <v>1</v>
      </c>
      <c r="H10">
        <v>1</v>
      </c>
      <c r="I10">
        <v>1</v>
      </c>
      <c r="J10">
        <v>1</v>
      </c>
      <c r="K10">
        <v>1</v>
      </c>
      <c r="L10">
        <v>1</v>
      </c>
      <c r="M10">
        <v>1</v>
      </c>
      <c r="N10">
        <v>1</v>
      </c>
      <c r="O10">
        <v>1</v>
      </c>
    </row>
    <row r="11" spans="1:16" x14ac:dyDescent="0.25">
      <c r="A11" t="s">
        <v>16</v>
      </c>
      <c r="B11" t="s">
        <v>29</v>
      </c>
      <c r="C11">
        <v>0</v>
      </c>
      <c r="D11">
        <v>10.31698775291443</v>
      </c>
      <c r="E11">
        <v>1</v>
      </c>
      <c r="F11">
        <v>1</v>
      </c>
      <c r="G11">
        <v>1</v>
      </c>
      <c r="H11">
        <v>1</v>
      </c>
      <c r="I11">
        <v>1</v>
      </c>
      <c r="J11">
        <v>1</v>
      </c>
      <c r="K11">
        <v>1</v>
      </c>
      <c r="L11">
        <v>1</v>
      </c>
      <c r="M11">
        <v>1</v>
      </c>
      <c r="N11">
        <v>1</v>
      </c>
      <c r="O11">
        <v>1</v>
      </c>
    </row>
    <row r="12" spans="1:16" x14ac:dyDescent="0.25">
      <c r="A12" t="s">
        <v>16</v>
      </c>
      <c r="B12" t="s">
        <v>30</v>
      </c>
      <c r="C12">
        <v>0</v>
      </c>
      <c r="D12">
        <v>12.807769536972049</v>
      </c>
      <c r="E12">
        <v>0</v>
      </c>
      <c r="F12" t="s">
        <v>22</v>
      </c>
      <c r="G12" t="s">
        <v>22</v>
      </c>
      <c r="H12" t="s">
        <v>22</v>
      </c>
      <c r="I12" t="s">
        <v>22</v>
      </c>
      <c r="J12" t="s">
        <v>22</v>
      </c>
      <c r="K12" t="s">
        <v>22</v>
      </c>
      <c r="L12" t="s">
        <v>22</v>
      </c>
      <c r="M12" t="s">
        <v>22</v>
      </c>
      <c r="N12" t="s">
        <v>22</v>
      </c>
      <c r="O12" t="s">
        <v>22</v>
      </c>
      <c r="P12" t="s">
        <v>368</v>
      </c>
    </row>
    <row r="13" spans="1:16" x14ac:dyDescent="0.25">
      <c r="A13" t="s">
        <v>16</v>
      </c>
      <c r="B13" t="s">
        <v>32</v>
      </c>
      <c r="C13">
        <v>0</v>
      </c>
      <c r="D13">
        <v>11.20957612991333</v>
      </c>
      <c r="E13">
        <v>1</v>
      </c>
      <c r="F13">
        <v>1</v>
      </c>
      <c r="G13">
        <v>1</v>
      </c>
      <c r="H13">
        <v>1</v>
      </c>
      <c r="I13">
        <v>1</v>
      </c>
      <c r="J13">
        <v>1</v>
      </c>
      <c r="K13">
        <v>1</v>
      </c>
      <c r="L13">
        <v>1</v>
      </c>
      <c r="M13">
        <v>1</v>
      </c>
      <c r="N13">
        <v>1</v>
      </c>
      <c r="O13">
        <v>1</v>
      </c>
    </row>
    <row r="14" spans="1:16" x14ac:dyDescent="0.25">
      <c r="A14" t="s">
        <v>16</v>
      </c>
      <c r="B14" t="s">
        <v>33</v>
      </c>
      <c r="C14">
        <v>0</v>
      </c>
      <c r="D14">
        <v>13.171897411346441</v>
      </c>
      <c r="E14">
        <v>1</v>
      </c>
      <c r="F14">
        <v>0</v>
      </c>
      <c r="G14">
        <v>1</v>
      </c>
      <c r="H14" t="s">
        <v>22</v>
      </c>
      <c r="I14">
        <v>1</v>
      </c>
      <c r="J14" t="s">
        <v>22</v>
      </c>
      <c r="K14">
        <v>1</v>
      </c>
      <c r="L14">
        <v>1</v>
      </c>
      <c r="M14">
        <v>1</v>
      </c>
      <c r="N14">
        <v>1</v>
      </c>
      <c r="O14">
        <v>1</v>
      </c>
      <c r="P14" t="s">
        <v>369</v>
      </c>
    </row>
    <row r="15" spans="1:16" x14ac:dyDescent="0.25">
      <c r="A15" t="s">
        <v>16</v>
      </c>
      <c r="B15" t="s">
        <v>35</v>
      </c>
      <c r="C15">
        <v>0</v>
      </c>
      <c r="D15">
        <v>8.6759116649627686</v>
      </c>
      <c r="E15">
        <v>1</v>
      </c>
      <c r="F15">
        <v>1</v>
      </c>
      <c r="G15">
        <v>1</v>
      </c>
      <c r="H15">
        <v>1</v>
      </c>
      <c r="I15">
        <v>1</v>
      </c>
      <c r="J15">
        <v>1</v>
      </c>
      <c r="K15">
        <v>1</v>
      </c>
      <c r="L15">
        <v>1</v>
      </c>
      <c r="M15">
        <v>1</v>
      </c>
      <c r="N15">
        <v>1</v>
      </c>
      <c r="O15">
        <v>1</v>
      </c>
    </row>
    <row r="16" spans="1:16" x14ac:dyDescent="0.25">
      <c r="A16" t="s">
        <v>16</v>
      </c>
      <c r="B16" t="s">
        <v>36</v>
      </c>
      <c r="C16">
        <v>0</v>
      </c>
      <c r="D16">
        <v>2.8752610683441162</v>
      </c>
      <c r="E16">
        <v>1</v>
      </c>
      <c r="F16">
        <v>1</v>
      </c>
      <c r="G16">
        <v>1</v>
      </c>
      <c r="H16">
        <v>1</v>
      </c>
      <c r="I16">
        <v>1</v>
      </c>
      <c r="J16">
        <v>1</v>
      </c>
      <c r="K16">
        <v>1</v>
      </c>
      <c r="L16">
        <v>1</v>
      </c>
      <c r="M16">
        <v>1</v>
      </c>
      <c r="N16">
        <v>1</v>
      </c>
      <c r="O16">
        <v>1</v>
      </c>
    </row>
    <row r="17" spans="1:16" x14ac:dyDescent="0.25">
      <c r="A17" t="s">
        <v>16</v>
      </c>
      <c r="B17" t="s">
        <v>38</v>
      </c>
      <c r="C17">
        <v>0</v>
      </c>
      <c r="D17">
        <v>10.24286770820618</v>
      </c>
      <c r="E17">
        <v>1</v>
      </c>
      <c r="F17">
        <v>1</v>
      </c>
      <c r="G17">
        <v>1</v>
      </c>
      <c r="H17">
        <v>1</v>
      </c>
      <c r="I17">
        <v>1</v>
      </c>
      <c r="J17">
        <v>1</v>
      </c>
      <c r="K17">
        <v>1</v>
      </c>
      <c r="L17">
        <v>1</v>
      </c>
      <c r="M17">
        <v>1</v>
      </c>
      <c r="N17">
        <v>1</v>
      </c>
      <c r="O17">
        <v>1</v>
      </c>
    </row>
    <row r="18" spans="1:16" x14ac:dyDescent="0.25">
      <c r="A18" t="s">
        <v>16</v>
      </c>
      <c r="B18" t="s">
        <v>39</v>
      </c>
      <c r="C18">
        <v>0</v>
      </c>
      <c r="D18">
        <v>2.949824333190918</v>
      </c>
      <c r="E18">
        <v>1</v>
      </c>
      <c r="F18">
        <v>1</v>
      </c>
      <c r="G18">
        <v>1</v>
      </c>
      <c r="H18">
        <v>1</v>
      </c>
      <c r="I18">
        <v>1</v>
      </c>
      <c r="J18">
        <v>1</v>
      </c>
      <c r="K18">
        <v>1</v>
      </c>
      <c r="L18">
        <v>1</v>
      </c>
      <c r="M18">
        <v>1</v>
      </c>
      <c r="N18">
        <v>1</v>
      </c>
      <c r="O18">
        <v>1</v>
      </c>
    </row>
    <row r="19" spans="1:16" x14ac:dyDescent="0.25">
      <c r="A19" t="s">
        <v>16</v>
      </c>
      <c r="B19" t="s">
        <v>40</v>
      </c>
      <c r="C19">
        <v>0</v>
      </c>
      <c r="D19">
        <v>2.969734907150269</v>
      </c>
      <c r="E19">
        <v>1</v>
      </c>
      <c r="F19">
        <v>1</v>
      </c>
      <c r="G19">
        <v>1</v>
      </c>
      <c r="H19">
        <v>1</v>
      </c>
      <c r="I19">
        <v>1</v>
      </c>
      <c r="J19">
        <v>1</v>
      </c>
      <c r="K19">
        <v>1</v>
      </c>
      <c r="L19">
        <v>1</v>
      </c>
      <c r="M19">
        <v>1</v>
      </c>
      <c r="N19">
        <v>1</v>
      </c>
      <c r="O19">
        <v>1</v>
      </c>
    </row>
    <row r="20" spans="1:16" x14ac:dyDescent="0.25">
      <c r="A20" t="s">
        <v>16</v>
      </c>
      <c r="B20" t="s">
        <v>41</v>
      </c>
      <c r="C20">
        <v>0</v>
      </c>
      <c r="D20">
        <v>9.0192489624023438</v>
      </c>
      <c r="E20">
        <v>0</v>
      </c>
      <c r="F20" t="s">
        <v>22</v>
      </c>
      <c r="G20" t="s">
        <v>22</v>
      </c>
      <c r="H20" t="s">
        <v>22</v>
      </c>
      <c r="I20" t="s">
        <v>22</v>
      </c>
      <c r="J20" t="s">
        <v>22</v>
      </c>
      <c r="K20" t="s">
        <v>22</v>
      </c>
      <c r="L20" t="s">
        <v>22</v>
      </c>
      <c r="M20" t="s">
        <v>22</v>
      </c>
      <c r="N20" t="s">
        <v>22</v>
      </c>
      <c r="O20" t="s">
        <v>22</v>
      </c>
      <c r="P20" t="s">
        <v>370</v>
      </c>
    </row>
    <row r="21" spans="1:16" x14ac:dyDescent="0.25">
      <c r="A21" t="s">
        <v>16</v>
      </c>
      <c r="B21" t="s">
        <v>43</v>
      </c>
      <c r="C21">
        <v>0</v>
      </c>
      <c r="D21">
        <v>9.5956308841705322</v>
      </c>
      <c r="E21">
        <v>1</v>
      </c>
      <c r="F21">
        <v>1</v>
      </c>
      <c r="G21">
        <v>1</v>
      </c>
      <c r="H21">
        <v>1</v>
      </c>
      <c r="I21">
        <v>1</v>
      </c>
      <c r="J21">
        <v>1</v>
      </c>
      <c r="K21">
        <v>1</v>
      </c>
      <c r="L21">
        <v>1</v>
      </c>
      <c r="M21">
        <v>1</v>
      </c>
      <c r="N21">
        <v>1</v>
      </c>
      <c r="O21">
        <v>1</v>
      </c>
    </row>
    <row r="22" spans="1:16" x14ac:dyDescent="0.25">
      <c r="A22" t="s">
        <v>16</v>
      </c>
      <c r="B22" t="s">
        <v>44</v>
      </c>
      <c r="C22">
        <v>0</v>
      </c>
      <c r="D22">
        <v>8.8142426013946533</v>
      </c>
      <c r="E22">
        <v>1</v>
      </c>
      <c r="F22">
        <v>1</v>
      </c>
      <c r="G22">
        <v>1</v>
      </c>
      <c r="H22">
        <v>1</v>
      </c>
      <c r="I22">
        <v>1</v>
      </c>
      <c r="J22">
        <v>1</v>
      </c>
      <c r="K22">
        <v>1</v>
      </c>
      <c r="L22">
        <v>1</v>
      </c>
      <c r="M22">
        <v>1</v>
      </c>
      <c r="N22">
        <v>1</v>
      </c>
      <c r="O22">
        <v>1</v>
      </c>
    </row>
    <row r="23" spans="1:16" x14ac:dyDescent="0.25">
      <c r="A23" t="s">
        <v>16</v>
      </c>
      <c r="B23" t="s">
        <v>45</v>
      </c>
      <c r="C23">
        <v>0</v>
      </c>
      <c r="D23">
        <v>10.14459323883057</v>
      </c>
      <c r="E23">
        <v>1</v>
      </c>
      <c r="F23">
        <v>1</v>
      </c>
      <c r="G23">
        <v>1</v>
      </c>
      <c r="H23">
        <v>1</v>
      </c>
      <c r="I23">
        <v>1</v>
      </c>
      <c r="J23">
        <v>1</v>
      </c>
      <c r="K23">
        <v>1</v>
      </c>
      <c r="L23">
        <v>1</v>
      </c>
      <c r="M23">
        <v>1</v>
      </c>
      <c r="N23">
        <v>1</v>
      </c>
      <c r="O23">
        <v>1</v>
      </c>
    </row>
    <row r="24" spans="1:16" x14ac:dyDescent="0.25">
      <c r="A24" t="s">
        <v>16</v>
      </c>
      <c r="B24" t="s">
        <v>46</v>
      </c>
      <c r="C24">
        <v>0</v>
      </c>
      <c r="D24">
        <v>9.120685338973999</v>
      </c>
      <c r="E24">
        <v>1</v>
      </c>
      <c r="F24">
        <v>1</v>
      </c>
      <c r="G24">
        <v>1</v>
      </c>
      <c r="H24">
        <v>1</v>
      </c>
      <c r="I24">
        <v>1</v>
      </c>
      <c r="J24">
        <v>1</v>
      </c>
      <c r="K24">
        <v>1</v>
      </c>
      <c r="L24">
        <v>1</v>
      </c>
      <c r="M24">
        <v>1</v>
      </c>
      <c r="N24">
        <v>1</v>
      </c>
      <c r="O24">
        <v>1</v>
      </c>
    </row>
    <row r="25" spans="1:16" x14ac:dyDescent="0.25">
      <c r="A25" t="s">
        <v>16</v>
      </c>
      <c r="B25" t="s">
        <v>47</v>
      </c>
      <c r="C25">
        <v>0</v>
      </c>
      <c r="D25">
        <v>10.171844244003299</v>
      </c>
      <c r="E25">
        <v>1</v>
      </c>
      <c r="F25">
        <v>1</v>
      </c>
      <c r="G25">
        <v>1</v>
      </c>
      <c r="H25">
        <v>1</v>
      </c>
      <c r="I25">
        <v>1</v>
      </c>
      <c r="J25">
        <v>1</v>
      </c>
      <c r="K25">
        <v>1</v>
      </c>
      <c r="L25">
        <v>1</v>
      </c>
      <c r="M25">
        <v>1</v>
      </c>
      <c r="N25">
        <v>1</v>
      </c>
      <c r="O25">
        <v>1</v>
      </c>
    </row>
    <row r="26" spans="1:16" x14ac:dyDescent="0.25">
      <c r="A26" t="s">
        <v>16</v>
      </c>
      <c r="B26" t="s">
        <v>48</v>
      </c>
      <c r="C26">
        <v>0</v>
      </c>
      <c r="D26">
        <v>10.00570106506348</v>
      </c>
      <c r="E26">
        <v>1</v>
      </c>
      <c r="F26">
        <v>1</v>
      </c>
      <c r="G26">
        <v>1</v>
      </c>
      <c r="H26">
        <v>1</v>
      </c>
      <c r="I26">
        <v>1</v>
      </c>
      <c r="J26">
        <v>1</v>
      </c>
      <c r="K26">
        <v>1</v>
      </c>
      <c r="L26">
        <v>1</v>
      </c>
      <c r="M26">
        <v>1</v>
      </c>
      <c r="N26">
        <v>1</v>
      </c>
      <c r="O26">
        <v>1</v>
      </c>
    </row>
    <row r="27" spans="1:16" x14ac:dyDescent="0.25">
      <c r="A27" t="s">
        <v>16</v>
      </c>
      <c r="B27" t="s">
        <v>49</v>
      </c>
      <c r="C27">
        <v>0</v>
      </c>
      <c r="D27">
        <v>7.954110860824585</v>
      </c>
      <c r="E27">
        <v>1</v>
      </c>
      <c r="F27">
        <v>0</v>
      </c>
      <c r="G27">
        <v>1</v>
      </c>
      <c r="H27" t="s">
        <v>22</v>
      </c>
      <c r="I27">
        <v>1</v>
      </c>
      <c r="J27" t="s">
        <v>22</v>
      </c>
      <c r="K27">
        <v>1</v>
      </c>
      <c r="L27">
        <v>1</v>
      </c>
      <c r="M27">
        <v>1</v>
      </c>
      <c r="N27">
        <v>1</v>
      </c>
      <c r="O27">
        <v>1</v>
      </c>
      <c r="P27" t="s">
        <v>371</v>
      </c>
    </row>
    <row r="28" spans="1:16" x14ac:dyDescent="0.25">
      <c r="A28" t="s">
        <v>16</v>
      </c>
      <c r="B28" t="s">
        <v>51</v>
      </c>
      <c r="C28">
        <v>0</v>
      </c>
      <c r="D28">
        <v>10.737910509109501</v>
      </c>
      <c r="E28">
        <v>1</v>
      </c>
      <c r="F28">
        <v>1</v>
      </c>
      <c r="G28">
        <v>1</v>
      </c>
      <c r="H28">
        <v>1</v>
      </c>
      <c r="I28">
        <v>1</v>
      </c>
      <c r="J28">
        <v>1</v>
      </c>
      <c r="K28">
        <v>1</v>
      </c>
      <c r="L28">
        <v>1</v>
      </c>
      <c r="M28">
        <v>1</v>
      </c>
      <c r="N28">
        <v>1</v>
      </c>
      <c r="O28">
        <v>1</v>
      </c>
    </row>
    <row r="29" spans="1:16" x14ac:dyDescent="0.25">
      <c r="A29" t="s">
        <v>16</v>
      </c>
      <c r="B29" t="s">
        <v>53</v>
      </c>
      <c r="C29">
        <v>0</v>
      </c>
      <c r="D29">
        <v>9.4137451648712158</v>
      </c>
      <c r="E29">
        <v>1</v>
      </c>
      <c r="F29">
        <v>1</v>
      </c>
      <c r="G29">
        <v>1</v>
      </c>
      <c r="H29">
        <v>1</v>
      </c>
      <c r="I29">
        <v>1</v>
      </c>
      <c r="J29">
        <v>1</v>
      </c>
      <c r="K29">
        <v>1</v>
      </c>
      <c r="L29">
        <v>1</v>
      </c>
      <c r="M29">
        <v>1</v>
      </c>
      <c r="N29">
        <v>1</v>
      </c>
      <c r="O29">
        <v>1</v>
      </c>
    </row>
    <row r="30" spans="1:16" x14ac:dyDescent="0.25">
      <c r="A30" t="s">
        <v>16</v>
      </c>
      <c r="B30" t="s">
        <v>54</v>
      </c>
      <c r="C30">
        <v>0</v>
      </c>
      <c r="D30">
        <v>9.1940057277679443</v>
      </c>
      <c r="E30">
        <v>1</v>
      </c>
      <c r="F30">
        <v>1</v>
      </c>
      <c r="G30">
        <v>1</v>
      </c>
      <c r="H30">
        <v>1</v>
      </c>
      <c r="I30">
        <v>1</v>
      </c>
      <c r="J30">
        <v>1</v>
      </c>
      <c r="K30">
        <v>1</v>
      </c>
      <c r="L30">
        <v>1</v>
      </c>
      <c r="M30">
        <v>1</v>
      </c>
      <c r="N30">
        <v>1</v>
      </c>
      <c r="O30">
        <v>1</v>
      </c>
    </row>
    <row r="31" spans="1:16" x14ac:dyDescent="0.25">
      <c r="A31" t="s">
        <v>16</v>
      </c>
      <c r="B31" t="s">
        <v>56</v>
      </c>
      <c r="C31">
        <v>0</v>
      </c>
      <c r="D31">
        <v>12.1475670337677</v>
      </c>
      <c r="E31">
        <v>1</v>
      </c>
      <c r="F31">
        <v>0</v>
      </c>
      <c r="G31">
        <v>1</v>
      </c>
      <c r="H31" t="s">
        <v>22</v>
      </c>
      <c r="I31">
        <v>1</v>
      </c>
      <c r="J31" t="s">
        <v>22</v>
      </c>
      <c r="K31">
        <v>1</v>
      </c>
      <c r="L31">
        <v>1</v>
      </c>
      <c r="M31">
        <v>1</v>
      </c>
      <c r="N31">
        <v>1</v>
      </c>
      <c r="O31">
        <v>1</v>
      </c>
      <c r="P31" t="s">
        <v>372</v>
      </c>
    </row>
    <row r="32" spans="1:16" x14ac:dyDescent="0.25">
      <c r="A32" t="s">
        <v>16</v>
      </c>
      <c r="B32" t="s">
        <v>58</v>
      </c>
      <c r="C32">
        <v>0</v>
      </c>
      <c r="D32">
        <v>6.0864937305450439</v>
      </c>
      <c r="E32">
        <v>1</v>
      </c>
      <c r="F32">
        <v>0</v>
      </c>
      <c r="G32">
        <v>1</v>
      </c>
      <c r="H32" t="s">
        <v>22</v>
      </c>
      <c r="I32">
        <v>1</v>
      </c>
      <c r="J32" t="s">
        <v>22</v>
      </c>
      <c r="K32">
        <v>1</v>
      </c>
      <c r="L32">
        <v>1</v>
      </c>
      <c r="M32">
        <v>1</v>
      </c>
      <c r="N32">
        <v>1</v>
      </c>
      <c r="O32">
        <v>1</v>
      </c>
      <c r="P32" t="s">
        <v>373</v>
      </c>
    </row>
    <row r="33" spans="1:16" x14ac:dyDescent="0.25">
      <c r="A33" t="s">
        <v>16</v>
      </c>
      <c r="B33" t="s">
        <v>60</v>
      </c>
      <c r="C33">
        <v>0</v>
      </c>
      <c r="D33">
        <v>8.9372134208679199</v>
      </c>
      <c r="E33">
        <v>1</v>
      </c>
      <c r="F33">
        <v>0</v>
      </c>
      <c r="G33">
        <v>1</v>
      </c>
      <c r="H33" t="s">
        <v>22</v>
      </c>
      <c r="I33">
        <v>1</v>
      </c>
      <c r="J33" t="s">
        <v>22</v>
      </c>
      <c r="K33">
        <v>1</v>
      </c>
      <c r="L33">
        <v>1</v>
      </c>
      <c r="M33">
        <v>1</v>
      </c>
      <c r="N33">
        <v>1</v>
      </c>
      <c r="O33">
        <v>1</v>
      </c>
      <c r="P33" t="s">
        <v>374</v>
      </c>
    </row>
    <row r="34" spans="1:16" x14ac:dyDescent="0.25">
      <c r="A34" t="s">
        <v>16</v>
      </c>
      <c r="B34" t="s">
        <v>62</v>
      </c>
      <c r="C34">
        <v>0</v>
      </c>
      <c r="D34">
        <v>14.50081467628479</v>
      </c>
      <c r="E34">
        <v>0</v>
      </c>
      <c r="F34" t="s">
        <v>22</v>
      </c>
      <c r="G34" t="s">
        <v>22</v>
      </c>
      <c r="H34" t="s">
        <v>22</v>
      </c>
      <c r="I34" t="s">
        <v>22</v>
      </c>
      <c r="J34" t="s">
        <v>22</v>
      </c>
      <c r="K34" t="s">
        <v>22</v>
      </c>
      <c r="L34" t="s">
        <v>22</v>
      </c>
      <c r="M34" t="s">
        <v>22</v>
      </c>
      <c r="N34" t="s">
        <v>22</v>
      </c>
      <c r="O34" t="s">
        <v>22</v>
      </c>
      <c r="P34" t="s">
        <v>375</v>
      </c>
    </row>
    <row r="35" spans="1:16" x14ac:dyDescent="0.25">
      <c r="A35" t="s">
        <v>16</v>
      </c>
      <c r="B35" t="s">
        <v>64</v>
      </c>
      <c r="C35">
        <v>0</v>
      </c>
      <c r="D35">
        <v>10.54907846450806</v>
      </c>
      <c r="E35">
        <v>1</v>
      </c>
      <c r="F35">
        <v>1</v>
      </c>
      <c r="G35">
        <v>1</v>
      </c>
      <c r="H35">
        <v>1</v>
      </c>
      <c r="I35">
        <v>1</v>
      </c>
      <c r="J35">
        <v>1</v>
      </c>
      <c r="K35">
        <v>1</v>
      </c>
      <c r="L35">
        <v>1</v>
      </c>
      <c r="M35">
        <v>1</v>
      </c>
      <c r="N35">
        <v>1</v>
      </c>
      <c r="O35">
        <v>1</v>
      </c>
    </row>
    <row r="36" spans="1:16" x14ac:dyDescent="0.25">
      <c r="A36" t="s">
        <v>16</v>
      </c>
      <c r="B36" t="s">
        <v>66</v>
      </c>
      <c r="C36">
        <v>0</v>
      </c>
      <c r="D36">
        <v>6.3390450477600098</v>
      </c>
      <c r="E36">
        <v>1</v>
      </c>
      <c r="F36">
        <v>1</v>
      </c>
      <c r="G36">
        <v>1</v>
      </c>
      <c r="H36">
        <v>1</v>
      </c>
      <c r="I36">
        <v>1</v>
      </c>
      <c r="J36">
        <v>1</v>
      </c>
      <c r="K36">
        <v>0</v>
      </c>
      <c r="L36">
        <v>1</v>
      </c>
      <c r="M36">
        <v>1</v>
      </c>
      <c r="N36">
        <v>1</v>
      </c>
      <c r="O36">
        <v>1</v>
      </c>
      <c r="P36" t="s">
        <v>376</v>
      </c>
    </row>
    <row r="37" spans="1:16" x14ac:dyDescent="0.25">
      <c r="A37" t="s">
        <v>16</v>
      </c>
      <c r="B37" t="s">
        <v>67</v>
      </c>
      <c r="C37">
        <v>0</v>
      </c>
      <c r="D37">
        <v>11.857007265090941</v>
      </c>
      <c r="E37">
        <v>1</v>
      </c>
      <c r="F37">
        <v>1</v>
      </c>
      <c r="G37">
        <v>1</v>
      </c>
      <c r="H37">
        <v>1</v>
      </c>
      <c r="I37">
        <v>1</v>
      </c>
      <c r="J37">
        <v>1</v>
      </c>
      <c r="K37">
        <v>0</v>
      </c>
      <c r="L37">
        <v>1</v>
      </c>
      <c r="M37">
        <v>1</v>
      </c>
      <c r="N37">
        <v>1</v>
      </c>
      <c r="O37">
        <v>1</v>
      </c>
      <c r="P37" t="s">
        <v>377</v>
      </c>
    </row>
    <row r="38" spans="1:16" x14ac:dyDescent="0.25">
      <c r="A38" t="s">
        <v>16</v>
      </c>
      <c r="B38" t="s">
        <v>69</v>
      </c>
      <c r="C38">
        <v>0</v>
      </c>
      <c r="D38">
        <v>12.424081802368161</v>
      </c>
      <c r="E38">
        <v>1</v>
      </c>
      <c r="F38">
        <v>1</v>
      </c>
      <c r="G38">
        <v>1</v>
      </c>
      <c r="H38">
        <v>1</v>
      </c>
      <c r="I38">
        <v>1</v>
      </c>
      <c r="J38">
        <v>1</v>
      </c>
      <c r="K38">
        <v>1</v>
      </c>
      <c r="L38">
        <v>1</v>
      </c>
      <c r="M38">
        <v>1</v>
      </c>
      <c r="N38">
        <v>1</v>
      </c>
      <c r="O38">
        <v>1</v>
      </c>
    </row>
    <row r="39" spans="1:16" x14ac:dyDescent="0.25">
      <c r="A39" t="s">
        <v>16</v>
      </c>
      <c r="B39" t="s">
        <v>70</v>
      </c>
      <c r="C39">
        <v>0</v>
      </c>
      <c r="D39">
        <v>7.8060708045959473</v>
      </c>
      <c r="E39">
        <v>1</v>
      </c>
      <c r="F39">
        <v>1</v>
      </c>
      <c r="G39">
        <v>1</v>
      </c>
      <c r="H39">
        <v>1</v>
      </c>
      <c r="I39">
        <v>1</v>
      </c>
      <c r="J39">
        <v>1</v>
      </c>
      <c r="K39">
        <v>1</v>
      </c>
      <c r="L39">
        <v>1</v>
      </c>
      <c r="M39">
        <v>1</v>
      </c>
      <c r="N39">
        <v>1</v>
      </c>
      <c r="O39">
        <v>1</v>
      </c>
    </row>
    <row r="40" spans="1:16" x14ac:dyDescent="0.25">
      <c r="A40" t="s">
        <v>16</v>
      </c>
      <c r="B40" t="s">
        <v>71</v>
      </c>
      <c r="C40">
        <v>0</v>
      </c>
      <c r="D40">
        <v>12.14364314079285</v>
      </c>
      <c r="E40">
        <v>1</v>
      </c>
      <c r="F40">
        <v>1</v>
      </c>
      <c r="G40">
        <v>1</v>
      </c>
      <c r="H40">
        <v>1</v>
      </c>
      <c r="I40">
        <v>1</v>
      </c>
      <c r="J40">
        <v>1</v>
      </c>
      <c r="K40">
        <v>0</v>
      </c>
      <c r="L40">
        <v>1</v>
      </c>
      <c r="M40">
        <v>1</v>
      </c>
      <c r="N40">
        <v>1</v>
      </c>
      <c r="O40">
        <v>1</v>
      </c>
      <c r="P40" t="s">
        <v>378</v>
      </c>
    </row>
    <row r="41" spans="1:16" x14ac:dyDescent="0.25">
      <c r="A41" t="s">
        <v>16</v>
      </c>
      <c r="B41" t="s">
        <v>73</v>
      </c>
      <c r="C41">
        <v>0</v>
      </c>
      <c r="D41">
        <v>9.2926034927368164</v>
      </c>
      <c r="E41">
        <v>0</v>
      </c>
      <c r="F41" t="s">
        <v>22</v>
      </c>
      <c r="G41" t="s">
        <v>22</v>
      </c>
      <c r="H41" t="s">
        <v>22</v>
      </c>
      <c r="I41" t="s">
        <v>22</v>
      </c>
      <c r="J41" t="s">
        <v>22</v>
      </c>
      <c r="K41" t="s">
        <v>22</v>
      </c>
      <c r="L41" t="s">
        <v>22</v>
      </c>
      <c r="M41" t="s">
        <v>22</v>
      </c>
      <c r="N41" t="s">
        <v>22</v>
      </c>
      <c r="O41" t="s">
        <v>22</v>
      </c>
      <c r="P41" t="s">
        <v>379</v>
      </c>
    </row>
    <row r="42" spans="1:16" x14ac:dyDescent="0.25">
      <c r="A42" t="s">
        <v>16</v>
      </c>
      <c r="B42" t="s">
        <v>75</v>
      </c>
      <c r="C42">
        <v>0</v>
      </c>
      <c r="D42">
        <v>11.062966823577881</v>
      </c>
      <c r="E42">
        <v>1</v>
      </c>
      <c r="F42">
        <v>1</v>
      </c>
      <c r="G42">
        <v>1</v>
      </c>
      <c r="H42">
        <v>1</v>
      </c>
      <c r="I42">
        <v>1</v>
      </c>
      <c r="J42">
        <v>1</v>
      </c>
      <c r="K42">
        <v>1</v>
      </c>
      <c r="L42">
        <v>1</v>
      </c>
      <c r="M42">
        <v>1</v>
      </c>
      <c r="N42">
        <v>1</v>
      </c>
      <c r="O42">
        <v>1</v>
      </c>
    </row>
    <row r="43" spans="1:16" x14ac:dyDescent="0.25">
      <c r="A43" t="s">
        <v>16</v>
      </c>
      <c r="B43" t="s">
        <v>77</v>
      </c>
      <c r="C43">
        <v>0</v>
      </c>
      <c r="D43">
        <v>6.6338071823120117</v>
      </c>
      <c r="E43">
        <v>1</v>
      </c>
      <c r="F43">
        <v>1</v>
      </c>
      <c r="G43">
        <v>0</v>
      </c>
      <c r="H43" t="s">
        <v>22</v>
      </c>
      <c r="I43">
        <v>1</v>
      </c>
      <c r="J43">
        <v>1</v>
      </c>
      <c r="K43">
        <v>1</v>
      </c>
      <c r="L43">
        <v>1</v>
      </c>
      <c r="M43">
        <v>0</v>
      </c>
      <c r="N43">
        <v>1</v>
      </c>
      <c r="O43">
        <v>1</v>
      </c>
      <c r="P43" t="s">
        <v>380</v>
      </c>
    </row>
    <row r="44" spans="1:16" x14ac:dyDescent="0.25">
      <c r="A44" t="s">
        <v>16</v>
      </c>
      <c r="B44" t="s">
        <v>79</v>
      </c>
      <c r="C44">
        <v>0</v>
      </c>
      <c r="D44">
        <v>7.219426155090332</v>
      </c>
      <c r="E44">
        <v>1</v>
      </c>
      <c r="F44">
        <v>1</v>
      </c>
      <c r="G44">
        <v>0</v>
      </c>
      <c r="H44" t="s">
        <v>22</v>
      </c>
      <c r="I44">
        <v>1</v>
      </c>
      <c r="J44">
        <v>1</v>
      </c>
      <c r="K44">
        <v>1</v>
      </c>
      <c r="L44">
        <v>1</v>
      </c>
      <c r="M44">
        <v>1</v>
      </c>
      <c r="N44">
        <v>1</v>
      </c>
      <c r="O44">
        <v>1</v>
      </c>
      <c r="P44" t="s">
        <v>381</v>
      </c>
    </row>
    <row r="45" spans="1:16" x14ac:dyDescent="0.25">
      <c r="A45" t="s">
        <v>16</v>
      </c>
      <c r="B45" t="s">
        <v>81</v>
      </c>
      <c r="C45">
        <v>0</v>
      </c>
      <c r="D45">
        <v>13.15256667137146</v>
      </c>
      <c r="E45">
        <v>1</v>
      </c>
      <c r="F45">
        <v>1</v>
      </c>
      <c r="G45">
        <v>1</v>
      </c>
      <c r="H45">
        <v>1</v>
      </c>
      <c r="I45">
        <v>1</v>
      </c>
      <c r="J45">
        <v>0</v>
      </c>
      <c r="K45">
        <v>1</v>
      </c>
      <c r="L45">
        <v>1</v>
      </c>
      <c r="M45">
        <v>1</v>
      </c>
      <c r="N45">
        <v>1</v>
      </c>
      <c r="O45">
        <v>1</v>
      </c>
      <c r="P45" t="s">
        <v>382</v>
      </c>
    </row>
    <row r="46" spans="1:16" x14ac:dyDescent="0.25">
      <c r="A46" t="s">
        <v>16</v>
      </c>
      <c r="B46" t="s">
        <v>83</v>
      </c>
      <c r="C46">
        <v>0</v>
      </c>
      <c r="D46">
        <v>6.7058651447296143</v>
      </c>
      <c r="E46">
        <v>1</v>
      </c>
      <c r="F46">
        <v>1</v>
      </c>
      <c r="G46">
        <v>1</v>
      </c>
      <c r="H46">
        <v>1</v>
      </c>
      <c r="I46">
        <v>1</v>
      </c>
      <c r="J46">
        <v>0</v>
      </c>
      <c r="K46">
        <v>1</v>
      </c>
      <c r="L46">
        <v>1</v>
      </c>
      <c r="M46">
        <v>1</v>
      </c>
      <c r="N46">
        <v>1</v>
      </c>
      <c r="O46">
        <v>1</v>
      </c>
      <c r="P46" t="s">
        <v>383</v>
      </c>
    </row>
    <row r="47" spans="1:16" x14ac:dyDescent="0.25">
      <c r="A47" t="s">
        <v>16</v>
      </c>
      <c r="B47" t="s">
        <v>85</v>
      </c>
      <c r="C47">
        <v>0</v>
      </c>
      <c r="D47">
        <v>9.0618212223052979</v>
      </c>
      <c r="E47">
        <v>1</v>
      </c>
      <c r="F47">
        <v>1</v>
      </c>
      <c r="G47">
        <v>1</v>
      </c>
      <c r="H47">
        <v>1</v>
      </c>
      <c r="I47">
        <v>1</v>
      </c>
      <c r="J47">
        <v>1</v>
      </c>
      <c r="K47">
        <v>1</v>
      </c>
      <c r="L47">
        <v>1</v>
      </c>
      <c r="M47">
        <v>1</v>
      </c>
      <c r="N47">
        <v>1</v>
      </c>
      <c r="O47">
        <v>1</v>
      </c>
    </row>
    <row r="48" spans="1:16" x14ac:dyDescent="0.25">
      <c r="A48" t="s">
        <v>16</v>
      </c>
      <c r="B48" t="s">
        <v>87</v>
      </c>
      <c r="C48">
        <v>0</v>
      </c>
      <c r="D48">
        <v>8.8944740295410156</v>
      </c>
      <c r="E48">
        <v>1</v>
      </c>
      <c r="F48">
        <v>1</v>
      </c>
      <c r="G48">
        <v>1</v>
      </c>
      <c r="H48">
        <v>1</v>
      </c>
      <c r="I48">
        <v>1</v>
      </c>
      <c r="J48">
        <v>0</v>
      </c>
      <c r="K48">
        <v>1</v>
      </c>
      <c r="L48">
        <v>1</v>
      </c>
      <c r="M48">
        <v>1</v>
      </c>
      <c r="N48">
        <v>1</v>
      </c>
      <c r="O48">
        <v>1</v>
      </c>
      <c r="P48" t="s">
        <v>384</v>
      </c>
    </row>
    <row r="49" spans="1:16" x14ac:dyDescent="0.25">
      <c r="A49" t="s">
        <v>16</v>
      </c>
      <c r="B49" t="s">
        <v>89</v>
      </c>
      <c r="C49">
        <v>0</v>
      </c>
      <c r="D49">
        <v>15.05703830718994</v>
      </c>
      <c r="E49">
        <v>0</v>
      </c>
      <c r="F49" t="s">
        <v>22</v>
      </c>
      <c r="G49" t="s">
        <v>22</v>
      </c>
      <c r="H49" t="s">
        <v>22</v>
      </c>
      <c r="I49" t="s">
        <v>22</v>
      </c>
      <c r="J49" t="s">
        <v>22</v>
      </c>
      <c r="K49" t="s">
        <v>22</v>
      </c>
      <c r="L49" t="s">
        <v>22</v>
      </c>
      <c r="M49" t="s">
        <v>22</v>
      </c>
      <c r="N49" t="s">
        <v>22</v>
      </c>
      <c r="O49" t="s">
        <v>22</v>
      </c>
      <c r="P49" t="s">
        <v>385</v>
      </c>
    </row>
    <row r="50" spans="1:16" x14ac:dyDescent="0.25">
      <c r="A50" t="s">
        <v>16</v>
      </c>
      <c r="B50" t="s">
        <v>90</v>
      </c>
      <c r="C50">
        <v>0</v>
      </c>
      <c r="D50">
        <v>5.0395967960357666</v>
      </c>
      <c r="E50">
        <v>1</v>
      </c>
      <c r="F50">
        <v>1</v>
      </c>
      <c r="G50">
        <v>1</v>
      </c>
      <c r="H50">
        <v>1</v>
      </c>
      <c r="I50">
        <v>1</v>
      </c>
      <c r="J50">
        <v>0</v>
      </c>
      <c r="K50">
        <v>1</v>
      </c>
      <c r="L50">
        <v>1</v>
      </c>
      <c r="M50">
        <v>1</v>
      </c>
      <c r="N50">
        <v>1</v>
      </c>
      <c r="O50">
        <v>1</v>
      </c>
      <c r="P50" t="s">
        <v>386</v>
      </c>
    </row>
    <row r="51" spans="1:16" x14ac:dyDescent="0.25">
      <c r="A51" t="s">
        <v>92</v>
      </c>
      <c r="B51" t="s">
        <v>17</v>
      </c>
      <c r="C51">
        <v>0</v>
      </c>
      <c r="D51">
        <v>10.40306925773621</v>
      </c>
      <c r="E51">
        <v>1</v>
      </c>
      <c r="F51">
        <v>1</v>
      </c>
      <c r="G51">
        <v>1</v>
      </c>
      <c r="H51">
        <v>1</v>
      </c>
      <c r="I51">
        <v>1</v>
      </c>
      <c r="J51">
        <v>1</v>
      </c>
      <c r="K51">
        <v>1</v>
      </c>
      <c r="L51">
        <v>1</v>
      </c>
      <c r="M51">
        <v>1</v>
      </c>
      <c r="N51">
        <v>1</v>
      </c>
      <c r="O51">
        <v>1</v>
      </c>
    </row>
    <row r="52" spans="1:16" x14ac:dyDescent="0.25">
      <c r="A52" t="s">
        <v>92</v>
      </c>
      <c r="B52" t="s">
        <v>19</v>
      </c>
      <c r="C52">
        <v>0</v>
      </c>
      <c r="D52">
        <v>10.599266290664669</v>
      </c>
      <c r="E52">
        <v>1</v>
      </c>
      <c r="F52">
        <v>1</v>
      </c>
      <c r="G52">
        <v>0</v>
      </c>
      <c r="H52" t="s">
        <v>22</v>
      </c>
      <c r="I52">
        <v>1</v>
      </c>
      <c r="J52">
        <v>1</v>
      </c>
      <c r="K52">
        <v>1</v>
      </c>
      <c r="L52">
        <v>1</v>
      </c>
      <c r="M52">
        <v>1</v>
      </c>
      <c r="N52">
        <v>1</v>
      </c>
      <c r="O52">
        <v>1</v>
      </c>
      <c r="P52" t="s">
        <v>387</v>
      </c>
    </row>
    <row r="53" spans="1:16" x14ac:dyDescent="0.25">
      <c r="A53" t="s">
        <v>92</v>
      </c>
      <c r="B53" t="s">
        <v>20</v>
      </c>
      <c r="C53">
        <v>0</v>
      </c>
      <c r="D53">
        <v>3.0027425289154048</v>
      </c>
      <c r="E53">
        <v>1</v>
      </c>
      <c r="F53">
        <v>1</v>
      </c>
      <c r="G53">
        <v>1</v>
      </c>
      <c r="H53">
        <v>1</v>
      </c>
      <c r="I53">
        <v>1</v>
      </c>
      <c r="J53">
        <v>1</v>
      </c>
      <c r="K53">
        <v>1</v>
      </c>
      <c r="L53">
        <v>1</v>
      </c>
      <c r="M53">
        <v>1</v>
      </c>
      <c r="N53">
        <v>1</v>
      </c>
      <c r="O53">
        <v>1</v>
      </c>
    </row>
    <row r="54" spans="1:16" x14ac:dyDescent="0.25">
      <c r="A54" t="s">
        <v>92</v>
      </c>
      <c r="B54" t="s">
        <v>21</v>
      </c>
      <c r="C54">
        <v>0</v>
      </c>
      <c r="D54">
        <v>2.9693620204925542</v>
      </c>
      <c r="E54">
        <v>1</v>
      </c>
      <c r="F54">
        <v>1</v>
      </c>
      <c r="G54">
        <v>1</v>
      </c>
      <c r="H54">
        <v>1</v>
      </c>
      <c r="I54">
        <v>1</v>
      </c>
      <c r="J54">
        <v>1</v>
      </c>
      <c r="K54">
        <v>1</v>
      </c>
      <c r="L54">
        <v>1</v>
      </c>
      <c r="M54">
        <v>1</v>
      </c>
      <c r="N54">
        <v>1</v>
      </c>
      <c r="O54">
        <v>1</v>
      </c>
    </row>
    <row r="55" spans="1:16" x14ac:dyDescent="0.25">
      <c r="A55" t="s">
        <v>92</v>
      </c>
      <c r="B55" t="s">
        <v>24</v>
      </c>
      <c r="C55">
        <v>0</v>
      </c>
      <c r="D55">
        <v>9.7634460926055908</v>
      </c>
      <c r="E55">
        <v>1</v>
      </c>
      <c r="F55">
        <v>1</v>
      </c>
      <c r="G55">
        <v>1</v>
      </c>
      <c r="H55">
        <v>1</v>
      </c>
      <c r="I55">
        <v>1</v>
      </c>
      <c r="J55">
        <v>1</v>
      </c>
      <c r="K55">
        <v>1</v>
      </c>
      <c r="L55">
        <v>1</v>
      </c>
      <c r="M55">
        <v>1</v>
      </c>
      <c r="N55">
        <v>1</v>
      </c>
      <c r="O55">
        <v>1</v>
      </c>
    </row>
    <row r="56" spans="1:16" x14ac:dyDescent="0.25">
      <c r="A56" t="s">
        <v>92</v>
      </c>
      <c r="B56" t="s">
        <v>25</v>
      </c>
      <c r="C56">
        <v>0</v>
      </c>
      <c r="D56">
        <v>7.2171611785888672</v>
      </c>
      <c r="E56">
        <v>1</v>
      </c>
      <c r="F56">
        <v>1</v>
      </c>
      <c r="G56">
        <v>0</v>
      </c>
      <c r="H56" t="s">
        <v>22</v>
      </c>
      <c r="I56">
        <v>1</v>
      </c>
      <c r="J56">
        <v>1</v>
      </c>
      <c r="K56">
        <v>1</v>
      </c>
      <c r="L56">
        <v>1</v>
      </c>
      <c r="M56">
        <v>1</v>
      </c>
      <c r="N56">
        <v>1</v>
      </c>
      <c r="O56">
        <v>1</v>
      </c>
      <c r="P56" t="s">
        <v>388</v>
      </c>
    </row>
    <row r="57" spans="1:16" x14ac:dyDescent="0.25">
      <c r="A57" t="s">
        <v>92</v>
      </c>
      <c r="B57" t="s">
        <v>26</v>
      </c>
      <c r="C57">
        <v>0</v>
      </c>
      <c r="D57">
        <v>10.43414306640625</v>
      </c>
      <c r="E57">
        <v>1</v>
      </c>
      <c r="F57">
        <v>1</v>
      </c>
      <c r="G57">
        <v>1</v>
      </c>
      <c r="H57">
        <v>1</v>
      </c>
      <c r="I57">
        <v>1</v>
      </c>
      <c r="J57">
        <v>1</v>
      </c>
      <c r="K57">
        <v>1</v>
      </c>
      <c r="L57">
        <v>1</v>
      </c>
      <c r="M57">
        <v>1</v>
      </c>
      <c r="N57">
        <v>1</v>
      </c>
      <c r="O57">
        <v>1</v>
      </c>
    </row>
    <row r="58" spans="1:16" x14ac:dyDescent="0.25">
      <c r="A58" t="s">
        <v>92</v>
      </c>
      <c r="B58" t="s">
        <v>27</v>
      </c>
      <c r="C58">
        <v>0</v>
      </c>
      <c r="D58">
        <v>12.389018297195429</v>
      </c>
      <c r="E58">
        <v>0</v>
      </c>
      <c r="F58" t="s">
        <v>22</v>
      </c>
      <c r="G58" t="s">
        <v>22</v>
      </c>
      <c r="H58" t="s">
        <v>22</v>
      </c>
      <c r="I58" t="s">
        <v>22</v>
      </c>
      <c r="J58" t="s">
        <v>22</v>
      </c>
      <c r="K58" t="s">
        <v>22</v>
      </c>
      <c r="L58" t="s">
        <v>22</v>
      </c>
      <c r="M58" t="s">
        <v>22</v>
      </c>
      <c r="N58" t="s">
        <v>22</v>
      </c>
      <c r="O58" t="s">
        <v>22</v>
      </c>
      <c r="P58" t="s">
        <v>389</v>
      </c>
    </row>
    <row r="59" spans="1:16" x14ac:dyDescent="0.25">
      <c r="A59" t="s">
        <v>92</v>
      </c>
      <c r="B59" t="s">
        <v>28</v>
      </c>
      <c r="C59">
        <v>0</v>
      </c>
      <c r="D59">
        <v>2.865616083145142</v>
      </c>
      <c r="E59">
        <v>1</v>
      </c>
      <c r="F59">
        <v>1</v>
      </c>
      <c r="G59">
        <v>1</v>
      </c>
      <c r="H59">
        <v>1</v>
      </c>
      <c r="I59">
        <v>1</v>
      </c>
      <c r="J59">
        <v>1</v>
      </c>
      <c r="K59">
        <v>1</v>
      </c>
      <c r="L59">
        <v>1</v>
      </c>
      <c r="M59">
        <v>1</v>
      </c>
      <c r="N59">
        <v>1</v>
      </c>
      <c r="O59">
        <v>1</v>
      </c>
    </row>
    <row r="60" spans="1:16" x14ac:dyDescent="0.25">
      <c r="A60" t="s">
        <v>92</v>
      </c>
      <c r="B60" t="s">
        <v>29</v>
      </c>
      <c r="C60">
        <v>0</v>
      </c>
      <c r="D60">
        <v>4.6850566864013672</v>
      </c>
      <c r="E60">
        <v>1</v>
      </c>
      <c r="F60">
        <v>1</v>
      </c>
      <c r="G60">
        <v>1</v>
      </c>
      <c r="H60">
        <v>1</v>
      </c>
      <c r="I60">
        <v>1</v>
      </c>
      <c r="J60">
        <v>1</v>
      </c>
      <c r="K60">
        <v>0</v>
      </c>
      <c r="L60">
        <v>1</v>
      </c>
      <c r="M60">
        <v>1</v>
      </c>
      <c r="N60">
        <v>1</v>
      </c>
      <c r="O60">
        <v>1</v>
      </c>
      <c r="P60" t="s">
        <v>390</v>
      </c>
    </row>
    <row r="61" spans="1:16" x14ac:dyDescent="0.25">
      <c r="A61" t="s">
        <v>92</v>
      </c>
      <c r="B61" t="s">
        <v>30</v>
      </c>
      <c r="C61">
        <v>0</v>
      </c>
      <c r="D61">
        <v>8.6969039440155029</v>
      </c>
      <c r="E61">
        <v>1</v>
      </c>
      <c r="F61">
        <v>1</v>
      </c>
      <c r="G61">
        <v>1</v>
      </c>
      <c r="H61">
        <v>1</v>
      </c>
      <c r="I61">
        <v>1</v>
      </c>
      <c r="J61">
        <v>1</v>
      </c>
      <c r="K61">
        <v>1</v>
      </c>
      <c r="L61">
        <v>1</v>
      </c>
      <c r="M61">
        <v>1</v>
      </c>
      <c r="N61">
        <v>1</v>
      </c>
      <c r="O61">
        <v>1</v>
      </c>
    </row>
    <row r="62" spans="1:16" x14ac:dyDescent="0.25">
      <c r="A62" t="s">
        <v>92</v>
      </c>
      <c r="B62" t="s">
        <v>32</v>
      </c>
      <c r="C62">
        <v>0</v>
      </c>
      <c r="D62">
        <v>9.6030311584472656</v>
      </c>
      <c r="E62">
        <v>1</v>
      </c>
      <c r="F62">
        <v>1</v>
      </c>
      <c r="G62">
        <v>1</v>
      </c>
      <c r="H62">
        <v>1</v>
      </c>
      <c r="I62">
        <v>1</v>
      </c>
      <c r="J62">
        <v>1</v>
      </c>
      <c r="K62">
        <v>1</v>
      </c>
      <c r="L62">
        <v>1</v>
      </c>
      <c r="M62">
        <v>1</v>
      </c>
      <c r="N62">
        <v>1</v>
      </c>
      <c r="O62">
        <v>1</v>
      </c>
    </row>
    <row r="63" spans="1:16" x14ac:dyDescent="0.25">
      <c r="A63" t="s">
        <v>92</v>
      </c>
      <c r="B63" t="s">
        <v>33</v>
      </c>
      <c r="C63">
        <v>0</v>
      </c>
      <c r="D63">
        <v>11.486143112182621</v>
      </c>
      <c r="E63">
        <v>1</v>
      </c>
      <c r="F63">
        <v>1</v>
      </c>
      <c r="G63">
        <v>1</v>
      </c>
      <c r="H63">
        <v>1</v>
      </c>
      <c r="I63">
        <v>1</v>
      </c>
      <c r="J63">
        <v>1</v>
      </c>
      <c r="K63">
        <v>1</v>
      </c>
      <c r="L63">
        <v>1</v>
      </c>
      <c r="M63">
        <v>1</v>
      </c>
      <c r="N63">
        <v>1</v>
      </c>
      <c r="O63">
        <v>1</v>
      </c>
    </row>
    <row r="64" spans="1:16" x14ac:dyDescent="0.25">
      <c r="A64" t="s">
        <v>92</v>
      </c>
      <c r="B64" t="s">
        <v>35</v>
      </c>
      <c r="C64">
        <v>0</v>
      </c>
      <c r="D64">
        <v>6.0283598899841309</v>
      </c>
      <c r="E64">
        <v>1</v>
      </c>
      <c r="F64">
        <v>1</v>
      </c>
      <c r="G64">
        <v>0</v>
      </c>
      <c r="H64" t="s">
        <v>22</v>
      </c>
      <c r="I64">
        <v>1</v>
      </c>
      <c r="J64">
        <v>1</v>
      </c>
      <c r="K64">
        <v>1</v>
      </c>
      <c r="L64">
        <v>1</v>
      </c>
      <c r="M64">
        <v>1</v>
      </c>
      <c r="N64">
        <v>1</v>
      </c>
      <c r="O64">
        <v>1</v>
      </c>
      <c r="P64" t="s">
        <v>391</v>
      </c>
    </row>
    <row r="65" spans="1:16" x14ac:dyDescent="0.25">
      <c r="A65" t="s">
        <v>92</v>
      </c>
      <c r="B65" t="s">
        <v>36</v>
      </c>
      <c r="C65">
        <v>0</v>
      </c>
      <c r="D65">
        <v>9.8335447311401367</v>
      </c>
      <c r="E65">
        <v>1</v>
      </c>
      <c r="F65">
        <v>0</v>
      </c>
      <c r="G65">
        <v>1</v>
      </c>
      <c r="H65" t="s">
        <v>22</v>
      </c>
      <c r="I65">
        <v>1</v>
      </c>
      <c r="J65" t="s">
        <v>22</v>
      </c>
      <c r="K65">
        <v>1</v>
      </c>
      <c r="L65">
        <v>1</v>
      </c>
      <c r="M65">
        <v>1</v>
      </c>
      <c r="N65">
        <v>1</v>
      </c>
      <c r="O65">
        <v>1</v>
      </c>
      <c r="P65" t="s">
        <v>392</v>
      </c>
    </row>
    <row r="66" spans="1:16" x14ac:dyDescent="0.25">
      <c r="A66" t="s">
        <v>92</v>
      </c>
      <c r="B66" t="s">
        <v>38</v>
      </c>
      <c r="C66">
        <v>0</v>
      </c>
      <c r="D66">
        <v>9.3282744884490967</v>
      </c>
      <c r="E66">
        <v>1</v>
      </c>
      <c r="F66">
        <v>1</v>
      </c>
      <c r="G66">
        <v>1</v>
      </c>
      <c r="H66">
        <v>1</v>
      </c>
      <c r="I66">
        <v>1</v>
      </c>
      <c r="J66">
        <v>1</v>
      </c>
      <c r="K66">
        <v>1</v>
      </c>
      <c r="L66">
        <v>1</v>
      </c>
      <c r="M66">
        <v>1</v>
      </c>
      <c r="N66">
        <v>1</v>
      </c>
      <c r="O66">
        <v>1</v>
      </c>
    </row>
    <row r="67" spans="1:16" x14ac:dyDescent="0.25">
      <c r="A67" t="s">
        <v>92</v>
      </c>
      <c r="B67" t="s">
        <v>39</v>
      </c>
      <c r="C67">
        <v>0</v>
      </c>
      <c r="D67">
        <v>7.5928475856781006</v>
      </c>
      <c r="E67">
        <v>1</v>
      </c>
      <c r="F67">
        <v>1</v>
      </c>
      <c r="G67">
        <v>1</v>
      </c>
      <c r="H67">
        <v>1</v>
      </c>
      <c r="I67">
        <v>1</v>
      </c>
      <c r="J67">
        <v>1</v>
      </c>
      <c r="K67">
        <v>1</v>
      </c>
      <c r="L67">
        <v>1</v>
      </c>
      <c r="M67">
        <v>1</v>
      </c>
      <c r="N67">
        <v>1</v>
      </c>
      <c r="O67">
        <v>1</v>
      </c>
    </row>
    <row r="68" spans="1:16" x14ac:dyDescent="0.25">
      <c r="A68" t="s">
        <v>92</v>
      </c>
      <c r="B68" t="s">
        <v>40</v>
      </c>
      <c r="C68">
        <v>0</v>
      </c>
      <c r="D68">
        <v>7.2211136817932129</v>
      </c>
      <c r="E68">
        <v>1</v>
      </c>
      <c r="F68">
        <v>1</v>
      </c>
      <c r="G68">
        <v>0</v>
      </c>
      <c r="H68" t="s">
        <v>22</v>
      </c>
      <c r="I68">
        <v>1</v>
      </c>
      <c r="J68">
        <v>1</v>
      </c>
      <c r="K68">
        <v>1</v>
      </c>
      <c r="L68">
        <v>1</v>
      </c>
      <c r="M68">
        <v>1</v>
      </c>
      <c r="N68">
        <v>1</v>
      </c>
      <c r="O68">
        <v>1</v>
      </c>
      <c r="P68" t="s">
        <v>393</v>
      </c>
    </row>
    <row r="69" spans="1:16" x14ac:dyDescent="0.25">
      <c r="A69" t="s">
        <v>92</v>
      </c>
      <c r="B69" t="s">
        <v>41</v>
      </c>
      <c r="C69">
        <v>0</v>
      </c>
      <c r="D69">
        <v>9.0989270210266113</v>
      </c>
      <c r="E69">
        <v>1</v>
      </c>
      <c r="F69">
        <v>1</v>
      </c>
      <c r="G69">
        <v>1</v>
      </c>
      <c r="H69">
        <v>1</v>
      </c>
      <c r="I69">
        <v>1</v>
      </c>
      <c r="J69">
        <v>1</v>
      </c>
      <c r="K69">
        <v>1</v>
      </c>
      <c r="L69">
        <v>1</v>
      </c>
      <c r="M69">
        <v>1</v>
      </c>
      <c r="N69">
        <v>1</v>
      </c>
      <c r="O69">
        <v>1</v>
      </c>
    </row>
    <row r="70" spans="1:16" x14ac:dyDescent="0.25">
      <c r="A70" t="s">
        <v>92</v>
      </c>
      <c r="B70" t="s">
        <v>43</v>
      </c>
      <c r="C70">
        <v>0</v>
      </c>
      <c r="D70">
        <v>10.23083758354187</v>
      </c>
      <c r="E70">
        <v>1</v>
      </c>
      <c r="F70">
        <v>1</v>
      </c>
      <c r="G70">
        <v>1</v>
      </c>
      <c r="H70">
        <v>1</v>
      </c>
      <c r="I70">
        <v>1</v>
      </c>
      <c r="J70">
        <v>1</v>
      </c>
      <c r="K70">
        <v>1</v>
      </c>
      <c r="L70">
        <v>1</v>
      </c>
      <c r="M70">
        <v>1</v>
      </c>
      <c r="N70">
        <v>1</v>
      </c>
      <c r="O70">
        <v>1</v>
      </c>
    </row>
    <row r="71" spans="1:16" x14ac:dyDescent="0.25">
      <c r="A71" t="s">
        <v>92</v>
      </c>
      <c r="B71" t="s">
        <v>44</v>
      </c>
      <c r="C71">
        <v>0</v>
      </c>
      <c r="D71">
        <v>10.506488561630251</v>
      </c>
      <c r="E71">
        <v>1</v>
      </c>
      <c r="F71">
        <v>1</v>
      </c>
      <c r="G71">
        <v>1</v>
      </c>
      <c r="H71">
        <v>1</v>
      </c>
      <c r="I71">
        <v>1</v>
      </c>
      <c r="J71">
        <v>1</v>
      </c>
      <c r="K71">
        <v>1</v>
      </c>
      <c r="L71">
        <v>1</v>
      </c>
      <c r="M71">
        <v>1</v>
      </c>
      <c r="N71">
        <v>1</v>
      </c>
      <c r="O71">
        <v>1</v>
      </c>
    </row>
    <row r="72" spans="1:16" x14ac:dyDescent="0.25">
      <c r="A72" t="s">
        <v>92</v>
      </c>
      <c r="B72" t="s">
        <v>45</v>
      </c>
      <c r="C72">
        <v>0</v>
      </c>
      <c r="D72">
        <v>7.7063593864440918</v>
      </c>
      <c r="E72">
        <v>1</v>
      </c>
      <c r="F72">
        <v>1</v>
      </c>
      <c r="G72">
        <v>1</v>
      </c>
      <c r="H72">
        <v>1</v>
      </c>
      <c r="I72">
        <v>1</v>
      </c>
      <c r="J72">
        <v>1</v>
      </c>
      <c r="K72">
        <v>1</v>
      </c>
      <c r="L72">
        <v>1</v>
      </c>
      <c r="M72">
        <v>1</v>
      </c>
      <c r="N72">
        <v>1</v>
      </c>
      <c r="O72">
        <v>1</v>
      </c>
    </row>
    <row r="73" spans="1:16" x14ac:dyDescent="0.25">
      <c r="A73" t="s">
        <v>92</v>
      </c>
      <c r="B73" t="s">
        <v>46</v>
      </c>
      <c r="C73">
        <v>0</v>
      </c>
      <c r="D73">
        <v>9.5089547634124756</v>
      </c>
      <c r="E73">
        <v>1</v>
      </c>
      <c r="F73">
        <v>1</v>
      </c>
      <c r="G73">
        <v>1</v>
      </c>
      <c r="H73">
        <v>1</v>
      </c>
      <c r="I73">
        <v>1</v>
      </c>
      <c r="J73">
        <v>1</v>
      </c>
      <c r="K73">
        <v>1</v>
      </c>
      <c r="L73">
        <v>1</v>
      </c>
      <c r="M73">
        <v>1</v>
      </c>
      <c r="N73">
        <v>1</v>
      </c>
      <c r="O73">
        <v>1</v>
      </c>
    </row>
    <row r="74" spans="1:16" x14ac:dyDescent="0.25">
      <c r="A74" t="s">
        <v>92</v>
      </c>
      <c r="B74" t="s">
        <v>47</v>
      </c>
      <c r="C74">
        <v>0</v>
      </c>
      <c r="D74">
        <v>8.6430339813232422</v>
      </c>
      <c r="E74">
        <v>0</v>
      </c>
      <c r="F74" t="s">
        <v>22</v>
      </c>
      <c r="G74" t="s">
        <v>22</v>
      </c>
      <c r="H74" t="s">
        <v>22</v>
      </c>
      <c r="I74" t="s">
        <v>22</v>
      </c>
      <c r="J74" t="s">
        <v>22</v>
      </c>
      <c r="K74" t="s">
        <v>22</v>
      </c>
      <c r="L74" t="s">
        <v>22</v>
      </c>
      <c r="M74" t="s">
        <v>22</v>
      </c>
      <c r="N74" t="s">
        <v>22</v>
      </c>
      <c r="O74" t="s">
        <v>22</v>
      </c>
      <c r="P74" t="s">
        <v>394</v>
      </c>
    </row>
    <row r="75" spans="1:16" x14ac:dyDescent="0.25">
      <c r="A75" t="s">
        <v>92</v>
      </c>
      <c r="B75" t="s">
        <v>48</v>
      </c>
      <c r="C75">
        <v>0</v>
      </c>
      <c r="D75">
        <v>11.61372351646423</v>
      </c>
      <c r="E75">
        <v>1</v>
      </c>
      <c r="F75">
        <v>1</v>
      </c>
      <c r="G75">
        <v>0</v>
      </c>
      <c r="H75" t="s">
        <v>22</v>
      </c>
      <c r="I75">
        <v>1</v>
      </c>
      <c r="J75">
        <v>1</v>
      </c>
      <c r="K75">
        <v>1</v>
      </c>
      <c r="L75">
        <v>1</v>
      </c>
      <c r="M75">
        <v>1</v>
      </c>
      <c r="N75">
        <v>1</v>
      </c>
      <c r="O75">
        <v>1</v>
      </c>
      <c r="P75" t="s">
        <v>395</v>
      </c>
    </row>
    <row r="76" spans="1:16" x14ac:dyDescent="0.25">
      <c r="A76" t="s">
        <v>92</v>
      </c>
      <c r="B76" t="s">
        <v>49</v>
      </c>
      <c r="C76">
        <v>0</v>
      </c>
      <c r="D76">
        <v>8.9101870059967041</v>
      </c>
      <c r="E76">
        <v>1</v>
      </c>
      <c r="F76">
        <v>1</v>
      </c>
      <c r="G76">
        <v>1</v>
      </c>
      <c r="H76">
        <v>1</v>
      </c>
      <c r="I76">
        <v>1</v>
      </c>
      <c r="J76">
        <v>1</v>
      </c>
      <c r="K76">
        <v>1</v>
      </c>
      <c r="L76">
        <v>1</v>
      </c>
      <c r="M76">
        <v>1</v>
      </c>
      <c r="N76">
        <v>1</v>
      </c>
      <c r="O76">
        <v>1</v>
      </c>
    </row>
    <row r="77" spans="1:16" x14ac:dyDescent="0.25">
      <c r="A77" t="s">
        <v>92</v>
      </c>
      <c r="B77" t="s">
        <v>51</v>
      </c>
      <c r="C77">
        <v>0</v>
      </c>
      <c r="D77">
        <v>4.5856297016143799</v>
      </c>
      <c r="E77">
        <v>1</v>
      </c>
      <c r="F77">
        <v>0</v>
      </c>
      <c r="G77">
        <v>1</v>
      </c>
      <c r="H77" t="s">
        <v>22</v>
      </c>
      <c r="I77">
        <v>1</v>
      </c>
      <c r="J77" t="s">
        <v>22</v>
      </c>
      <c r="K77">
        <v>1</v>
      </c>
      <c r="L77">
        <v>1</v>
      </c>
      <c r="M77">
        <v>1</v>
      </c>
      <c r="N77">
        <v>1</v>
      </c>
      <c r="O77">
        <v>1</v>
      </c>
      <c r="P77" t="s">
        <v>396</v>
      </c>
    </row>
    <row r="78" spans="1:16" x14ac:dyDescent="0.25">
      <c r="A78" t="s">
        <v>92</v>
      </c>
      <c r="B78" t="s">
        <v>53</v>
      </c>
      <c r="C78">
        <v>0</v>
      </c>
      <c r="D78">
        <v>4.4917750358581543</v>
      </c>
      <c r="E78">
        <v>1</v>
      </c>
      <c r="F78">
        <v>0</v>
      </c>
      <c r="G78">
        <v>1</v>
      </c>
      <c r="H78" t="s">
        <v>22</v>
      </c>
      <c r="I78">
        <v>1</v>
      </c>
      <c r="J78" t="s">
        <v>22</v>
      </c>
      <c r="K78">
        <v>1</v>
      </c>
      <c r="L78">
        <v>1</v>
      </c>
      <c r="M78">
        <v>1</v>
      </c>
      <c r="N78">
        <v>1</v>
      </c>
      <c r="O78">
        <v>1</v>
      </c>
      <c r="P78" t="s">
        <v>397</v>
      </c>
    </row>
    <row r="79" spans="1:16" x14ac:dyDescent="0.25">
      <c r="A79" t="s">
        <v>92</v>
      </c>
      <c r="B79" t="s">
        <v>54</v>
      </c>
      <c r="C79">
        <v>0</v>
      </c>
      <c r="D79">
        <v>12.173970699310299</v>
      </c>
      <c r="E79">
        <v>1</v>
      </c>
      <c r="F79">
        <v>1</v>
      </c>
      <c r="G79">
        <v>1</v>
      </c>
      <c r="H79">
        <v>1</v>
      </c>
      <c r="I79">
        <v>1</v>
      </c>
      <c r="J79">
        <v>1</v>
      </c>
      <c r="K79">
        <v>0</v>
      </c>
      <c r="L79">
        <v>1</v>
      </c>
      <c r="M79">
        <v>1</v>
      </c>
      <c r="N79">
        <v>1</v>
      </c>
      <c r="O79">
        <v>1</v>
      </c>
      <c r="P79" t="s">
        <v>398</v>
      </c>
    </row>
    <row r="80" spans="1:16" x14ac:dyDescent="0.25">
      <c r="A80" t="s">
        <v>92</v>
      </c>
      <c r="B80" t="s">
        <v>56</v>
      </c>
      <c r="C80">
        <v>0</v>
      </c>
      <c r="D80">
        <v>9.1275219917297363</v>
      </c>
      <c r="E80">
        <v>1</v>
      </c>
      <c r="F80">
        <v>1</v>
      </c>
      <c r="G80">
        <v>1</v>
      </c>
      <c r="H80">
        <v>1</v>
      </c>
      <c r="I80">
        <v>1</v>
      </c>
      <c r="J80">
        <v>1</v>
      </c>
      <c r="K80">
        <v>1</v>
      </c>
      <c r="L80">
        <v>1</v>
      </c>
      <c r="M80">
        <v>1</v>
      </c>
      <c r="N80">
        <v>1</v>
      </c>
      <c r="O80">
        <v>1</v>
      </c>
    </row>
    <row r="81" spans="1:16" x14ac:dyDescent="0.25">
      <c r="A81" t="s">
        <v>92</v>
      </c>
      <c r="B81" t="s">
        <v>58</v>
      </c>
      <c r="C81">
        <v>0</v>
      </c>
      <c r="D81">
        <v>11.45958399772644</v>
      </c>
      <c r="E81">
        <v>1</v>
      </c>
      <c r="F81">
        <v>1</v>
      </c>
      <c r="G81">
        <v>0</v>
      </c>
      <c r="H81" t="s">
        <v>22</v>
      </c>
      <c r="I81">
        <v>1</v>
      </c>
      <c r="J81">
        <v>1</v>
      </c>
      <c r="K81">
        <v>0</v>
      </c>
      <c r="L81">
        <v>1</v>
      </c>
      <c r="M81">
        <v>1</v>
      </c>
      <c r="N81">
        <v>1</v>
      </c>
      <c r="O81">
        <v>1</v>
      </c>
      <c r="P81" t="s">
        <v>399</v>
      </c>
    </row>
    <row r="82" spans="1:16" x14ac:dyDescent="0.25">
      <c r="A82" t="s">
        <v>92</v>
      </c>
      <c r="B82" t="s">
        <v>60</v>
      </c>
      <c r="C82">
        <v>0</v>
      </c>
      <c r="D82">
        <v>10.737748146057131</v>
      </c>
      <c r="E82">
        <v>1</v>
      </c>
      <c r="F82">
        <v>1</v>
      </c>
      <c r="G82">
        <v>0</v>
      </c>
      <c r="H82" t="s">
        <v>22</v>
      </c>
      <c r="I82">
        <v>1</v>
      </c>
      <c r="J82">
        <v>1</v>
      </c>
      <c r="K82">
        <v>1</v>
      </c>
      <c r="L82">
        <v>1</v>
      </c>
      <c r="M82">
        <v>1</v>
      </c>
      <c r="N82">
        <v>1</v>
      </c>
      <c r="O82">
        <v>1</v>
      </c>
      <c r="P82" t="s">
        <v>400</v>
      </c>
    </row>
    <row r="83" spans="1:16" x14ac:dyDescent="0.25">
      <c r="A83" t="s">
        <v>92</v>
      </c>
      <c r="B83" t="s">
        <v>62</v>
      </c>
      <c r="C83">
        <v>0</v>
      </c>
      <c r="D83">
        <v>11.15902519226074</v>
      </c>
      <c r="E83">
        <v>1</v>
      </c>
      <c r="F83">
        <v>1</v>
      </c>
      <c r="G83">
        <v>1</v>
      </c>
      <c r="H83">
        <v>1</v>
      </c>
      <c r="I83">
        <v>1</v>
      </c>
      <c r="J83">
        <v>1</v>
      </c>
      <c r="K83">
        <v>1</v>
      </c>
      <c r="L83">
        <v>1</v>
      </c>
      <c r="M83">
        <v>1</v>
      </c>
      <c r="N83">
        <v>1</v>
      </c>
      <c r="O83">
        <v>1</v>
      </c>
    </row>
    <row r="84" spans="1:16" x14ac:dyDescent="0.25">
      <c r="A84" t="s">
        <v>92</v>
      </c>
      <c r="B84" t="s">
        <v>64</v>
      </c>
      <c r="C84">
        <v>0</v>
      </c>
      <c r="D84">
        <v>2.9809684753417969</v>
      </c>
      <c r="E84">
        <v>1</v>
      </c>
      <c r="F84">
        <v>1</v>
      </c>
      <c r="G84">
        <v>1</v>
      </c>
      <c r="H84">
        <v>1</v>
      </c>
      <c r="I84">
        <v>1</v>
      </c>
      <c r="J84">
        <v>1</v>
      </c>
      <c r="K84">
        <v>1</v>
      </c>
      <c r="L84">
        <v>1</v>
      </c>
      <c r="M84">
        <v>1</v>
      </c>
      <c r="N84">
        <v>1</v>
      </c>
      <c r="O84">
        <v>1</v>
      </c>
    </row>
    <row r="85" spans="1:16" x14ac:dyDescent="0.25">
      <c r="A85" t="s">
        <v>92</v>
      </c>
      <c r="B85" t="s">
        <v>66</v>
      </c>
      <c r="C85">
        <v>0</v>
      </c>
      <c r="D85">
        <v>7.4460101127624512</v>
      </c>
      <c r="E85">
        <v>1</v>
      </c>
      <c r="F85">
        <v>1</v>
      </c>
      <c r="G85">
        <v>0</v>
      </c>
      <c r="H85" t="s">
        <v>22</v>
      </c>
      <c r="I85">
        <v>1</v>
      </c>
      <c r="J85">
        <v>1</v>
      </c>
      <c r="K85">
        <v>1</v>
      </c>
      <c r="L85">
        <v>1</v>
      </c>
      <c r="M85">
        <v>1</v>
      </c>
      <c r="N85">
        <v>1</v>
      </c>
      <c r="O85">
        <v>1</v>
      </c>
      <c r="P85" t="s">
        <v>401</v>
      </c>
    </row>
    <row r="86" spans="1:16" x14ac:dyDescent="0.25">
      <c r="A86" t="s">
        <v>92</v>
      </c>
      <c r="B86" t="s">
        <v>67</v>
      </c>
      <c r="C86">
        <v>0</v>
      </c>
      <c r="D86">
        <v>9.4809606075286865</v>
      </c>
      <c r="E86">
        <v>1</v>
      </c>
      <c r="F86">
        <v>1</v>
      </c>
      <c r="G86">
        <v>1</v>
      </c>
      <c r="H86">
        <v>1</v>
      </c>
      <c r="I86">
        <v>1</v>
      </c>
      <c r="J86">
        <v>1</v>
      </c>
      <c r="K86">
        <v>1</v>
      </c>
      <c r="L86">
        <v>1</v>
      </c>
      <c r="M86">
        <v>1</v>
      </c>
      <c r="N86">
        <v>1</v>
      </c>
      <c r="O86">
        <v>1</v>
      </c>
    </row>
    <row r="87" spans="1:16" x14ac:dyDescent="0.25">
      <c r="A87" t="s">
        <v>92</v>
      </c>
      <c r="B87" t="s">
        <v>69</v>
      </c>
      <c r="C87">
        <v>0</v>
      </c>
      <c r="D87">
        <v>12.431049585342411</v>
      </c>
      <c r="E87">
        <v>1</v>
      </c>
      <c r="F87">
        <v>0</v>
      </c>
      <c r="G87">
        <v>1</v>
      </c>
      <c r="H87" t="s">
        <v>22</v>
      </c>
      <c r="I87">
        <v>1</v>
      </c>
      <c r="J87" t="s">
        <v>22</v>
      </c>
      <c r="K87">
        <v>1</v>
      </c>
      <c r="L87">
        <v>1</v>
      </c>
      <c r="M87">
        <v>1</v>
      </c>
      <c r="N87">
        <v>1</v>
      </c>
      <c r="O87">
        <v>1</v>
      </c>
      <c r="P87" t="s">
        <v>402</v>
      </c>
    </row>
    <row r="88" spans="1:16" x14ac:dyDescent="0.25">
      <c r="A88" t="s">
        <v>92</v>
      </c>
      <c r="B88" t="s">
        <v>70</v>
      </c>
      <c r="C88">
        <v>0</v>
      </c>
      <c r="D88">
        <v>9.6828141212463379</v>
      </c>
      <c r="E88">
        <v>1</v>
      </c>
      <c r="F88">
        <v>1</v>
      </c>
      <c r="G88">
        <v>1</v>
      </c>
      <c r="H88">
        <v>1</v>
      </c>
      <c r="I88">
        <v>1</v>
      </c>
      <c r="J88">
        <v>1</v>
      </c>
      <c r="K88">
        <v>1</v>
      </c>
      <c r="L88">
        <v>1</v>
      </c>
      <c r="M88">
        <v>1</v>
      </c>
      <c r="N88">
        <v>1</v>
      </c>
      <c r="O88">
        <v>1</v>
      </c>
    </row>
    <row r="89" spans="1:16" x14ac:dyDescent="0.25">
      <c r="A89" t="s">
        <v>92</v>
      </c>
      <c r="B89" t="s">
        <v>71</v>
      </c>
      <c r="C89">
        <v>0</v>
      </c>
      <c r="D89">
        <v>11.15478038787842</v>
      </c>
      <c r="E89">
        <v>1</v>
      </c>
      <c r="F89">
        <v>1</v>
      </c>
      <c r="G89">
        <v>1</v>
      </c>
      <c r="H89">
        <v>1</v>
      </c>
      <c r="I89">
        <v>1</v>
      </c>
      <c r="J89">
        <v>1</v>
      </c>
      <c r="K89">
        <v>1</v>
      </c>
      <c r="L89">
        <v>1</v>
      </c>
      <c r="M89">
        <v>1</v>
      </c>
      <c r="N89">
        <v>1</v>
      </c>
      <c r="O89">
        <v>1</v>
      </c>
    </row>
    <row r="90" spans="1:16" x14ac:dyDescent="0.25">
      <c r="A90" t="s">
        <v>92</v>
      </c>
      <c r="B90" t="s">
        <v>73</v>
      </c>
      <c r="C90">
        <v>0</v>
      </c>
      <c r="D90">
        <v>11.46037483215332</v>
      </c>
      <c r="E90">
        <v>1</v>
      </c>
      <c r="F90">
        <v>1</v>
      </c>
      <c r="G90">
        <v>1</v>
      </c>
      <c r="H90">
        <v>1</v>
      </c>
      <c r="I90">
        <v>1</v>
      </c>
      <c r="J90">
        <v>1</v>
      </c>
      <c r="K90">
        <v>1</v>
      </c>
      <c r="L90">
        <v>1</v>
      </c>
      <c r="M90">
        <v>1</v>
      </c>
      <c r="N90">
        <v>1</v>
      </c>
      <c r="O90">
        <v>1</v>
      </c>
    </row>
    <row r="91" spans="1:16" x14ac:dyDescent="0.25">
      <c r="A91" t="s">
        <v>92</v>
      </c>
      <c r="B91" t="s">
        <v>75</v>
      </c>
      <c r="C91">
        <v>0</v>
      </c>
      <c r="D91">
        <v>10.400881290435789</v>
      </c>
      <c r="E91">
        <v>1</v>
      </c>
      <c r="F91">
        <v>1</v>
      </c>
      <c r="G91">
        <v>1</v>
      </c>
      <c r="H91">
        <v>1</v>
      </c>
      <c r="I91">
        <v>1</v>
      </c>
      <c r="J91">
        <v>1</v>
      </c>
      <c r="K91">
        <v>1</v>
      </c>
      <c r="L91">
        <v>1</v>
      </c>
      <c r="M91">
        <v>1</v>
      </c>
      <c r="N91">
        <v>1</v>
      </c>
      <c r="O91">
        <v>1</v>
      </c>
    </row>
    <row r="92" spans="1:16" x14ac:dyDescent="0.25">
      <c r="A92" t="s">
        <v>92</v>
      </c>
      <c r="B92" t="s">
        <v>77</v>
      </c>
      <c r="C92">
        <v>0</v>
      </c>
      <c r="D92">
        <v>11.17882823944092</v>
      </c>
      <c r="E92">
        <v>1</v>
      </c>
      <c r="F92">
        <v>1</v>
      </c>
      <c r="G92">
        <v>1</v>
      </c>
      <c r="H92">
        <v>1</v>
      </c>
      <c r="I92">
        <v>1</v>
      </c>
      <c r="J92">
        <v>1</v>
      </c>
      <c r="K92">
        <v>0</v>
      </c>
      <c r="L92">
        <v>1</v>
      </c>
      <c r="M92">
        <v>1</v>
      </c>
      <c r="N92">
        <v>1</v>
      </c>
      <c r="O92">
        <v>1</v>
      </c>
      <c r="P92" t="s">
        <v>403</v>
      </c>
    </row>
    <row r="93" spans="1:16" x14ac:dyDescent="0.25">
      <c r="A93" t="s">
        <v>92</v>
      </c>
      <c r="B93" t="s">
        <v>79</v>
      </c>
      <c r="C93">
        <v>0</v>
      </c>
      <c r="D93">
        <v>5.6463093757629386</v>
      </c>
      <c r="E93">
        <v>1</v>
      </c>
      <c r="F93">
        <v>1</v>
      </c>
      <c r="G93">
        <v>1</v>
      </c>
      <c r="H93">
        <v>1</v>
      </c>
      <c r="I93">
        <v>1</v>
      </c>
      <c r="J93">
        <v>0</v>
      </c>
      <c r="K93">
        <v>1</v>
      </c>
      <c r="L93">
        <v>1</v>
      </c>
      <c r="M93">
        <v>1</v>
      </c>
      <c r="N93">
        <v>1</v>
      </c>
      <c r="O93">
        <v>1</v>
      </c>
      <c r="P93" t="s">
        <v>404</v>
      </c>
    </row>
    <row r="94" spans="1:16" x14ac:dyDescent="0.25">
      <c r="A94" t="s">
        <v>92</v>
      </c>
      <c r="B94" t="s">
        <v>81</v>
      </c>
      <c r="C94">
        <v>0</v>
      </c>
      <c r="D94">
        <v>10.62156438827515</v>
      </c>
      <c r="E94">
        <v>1</v>
      </c>
      <c r="F94">
        <v>1</v>
      </c>
      <c r="G94">
        <v>1</v>
      </c>
      <c r="H94">
        <v>1</v>
      </c>
      <c r="I94">
        <v>1</v>
      </c>
      <c r="J94">
        <v>1</v>
      </c>
      <c r="K94">
        <v>1</v>
      </c>
      <c r="L94">
        <v>1</v>
      </c>
      <c r="M94">
        <v>1</v>
      </c>
      <c r="N94">
        <v>1</v>
      </c>
      <c r="O94">
        <v>1</v>
      </c>
    </row>
    <row r="95" spans="1:16" x14ac:dyDescent="0.25">
      <c r="A95" t="s">
        <v>92</v>
      </c>
      <c r="B95" t="s">
        <v>83</v>
      </c>
      <c r="C95">
        <v>0</v>
      </c>
      <c r="D95">
        <v>13.485785245895389</v>
      </c>
      <c r="E95">
        <v>1</v>
      </c>
      <c r="F95">
        <v>1</v>
      </c>
      <c r="G95">
        <v>1</v>
      </c>
      <c r="H95">
        <v>1</v>
      </c>
      <c r="I95">
        <v>1</v>
      </c>
      <c r="J95">
        <v>0</v>
      </c>
      <c r="K95">
        <v>1</v>
      </c>
      <c r="L95">
        <v>1</v>
      </c>
      <c r="M95">
        <v>1</v>
      </c>
      <c r="N95">
        <v>1</v>
      </c>
      <c r="O95">
        <v>1</v>
      </c>
      <c r="P95" t="s">
        <v>405</v>
      </c>
    </row>
    <row r="96" spans="1:16" x14ac:dyDescent="0.25">
      <c r="A96" t="s">
        <v>92</v>
      </c>
      <c r="B96" t="s">
        <v>85</v>
      </c>
      <c r="C96">
        <v>0</v>
      </c>
      <c r="D96">
        <v>5.930495023727417</v>
      </c>
      <c r="E96">
        <v>1</v>
      </c>
      <c r="F96">
        <v>1</v>
      </c>
      <c r="G96">
        <v>1</v>
      </c>
      <c r="H96">
        <v>1</v>
      </c>
      <c r="I96">
        <v>1</v>
      </c>
      <c r="J96">
        <v>0</v>
      </c>
      <c r="K96">
        <v>1</v>
      </c>
      <c r="L96">
        <v>1</v>
      </c>
      <c r="M96">
        <v>1</v>
      </c>
      <c r="N96">
        <v>1</v>
      </c>
      <c r="O96">
        <v>1</v>
      </c>
      <c r="P96" t="s">
        <v>406</v>
      </c>
    </row>
    <row r="97" spans="1:16" x14ac:dyDescent="0.25">
      <c r="A97" t="s">
        <v>92</v>
      </c>
      <c r="B97" t="s">
        <v>87</v>
      </c>
      <c r="C97">
        <v>0</v>
      </c>
      <c r="D97">
        <v>7.6775496006011963</v>
      </c>
      <c r="E97">
        <v>1</v>
      </c>
      <c r="F97">
        <v>1</v>
      </c>
      <c r="G97">
        <v>1</v>
      </c>
      <c r="H97">
        <v>1</v>
      </c>
      <c r="I97">
        <v>1</v>
      </c>
      <c r="J97">
        <v>0</v>
      </c>
      <c r="K97">
        <v>1</v>
      </c>
      <c r="L97">
        <v>1</v>
      </c>
      <c r="M97">
        <v>1</v>
      </c>
      <c r="N97">
        <v>1</v>
      </c>
      <c r="O97">
        <v>1</v>
      </c>
      <c r="P97" t="s">
        <v>407</v>
      </c>
    </row>
    <row r="98" spans="1:16" x14ac:dyDescent="0.25">
      <c r="A98" t="s">
        <v>92</v>
      </c>
      <c r="B98" t="s">
        <v>89</v>
      </c>
      <c r="C98">
        <v>0</v>
      </c>
      <c r="D98">
        <v>4.7633864879608154</v>
      </c>
      <c r="E98">
        <v>1</v>
      </c>
      <c r="F98">
        <v>1</v>
      </c>
      <c r="G98">
        <v>1</v>
      </c>
      <c r="H98">
        <v>1</v>
      </c>
      <c r="I98">
        <v>1</v>
      </c>
      <c r="J98">
        <v>0</v>
      </c>
      <c r="K98">
        <v>1</v>
      </c>
      <c r="L98">
        <v>1</v>
      </c>
      <c r="M98">
        <v>1</v>
      </c>
      <c r="N98">
        <v>1</v>
      </c>
      <c r="O98">
        <v>1</v>
      </c>
      <c r="P98" t="s">
        <v>408</v>
      </c>
    </row>
    <row r="99" spans="1:16" x14ac:dyDescent="0.25">
      <c r="A99" t="s">
        <v>92</v>
      </c>
      <c r="B99" t="s">
        <v>90</v>
      </c>
      <c r="C99">
        <v>0</v>
      </c>
      <c r="D99">
        <v>4.7245972156524658</v>
      </c>
      <c r="E99">
        <v>1</v>
      </c>
      <c r="F99">
        <v>1</v>
      </c>
      <c r="G99">
        <v>1</v>
      </c>
      <c r="H99">
        <v>1</v>
      </c>
      <c r="I99">
        <v>1</v>
      </c>
      <c r="J99">
        <v>0</v>
      </c>
      <c r="K99">
        <v>1</v>
      </c>
      <c r="L99">
        <v>1</v>
      </c>
      <c r="M99">
        <v>1</v>
      </c>
      <c r="N99">
        <v>1</v>
      </c>
      <c r="O99">
        <v>1</v>
      </c>
      <c r="P99" t="s">
        <v>409</v>
      </c>
    </row>
    <row r="100" spans="1:16" x14ac:dyDescent="0.25">
      <c r="A100" t="s">
        <v>92</v>
      </c>
      <c r="B100" t="s">
        <v>115</v>
      </c>
      <c r="C100">
        <v>0</v>
      </c>
      <c r="D100">
        <v>12.593562841415411</v>
      </c>
      <c r="E100">
        <v>1</v>
      </c>
      <c r="F100">
        <v>0</v>
      </c>
      <c r="G100">
        <v>0</v>
      </c>
      <c r="H100" t="s">
        <v>22</v>
      </c>
      <c r="I100">
        <v>1</v>
      </c>
      <c r="J100" t="s">
        <v>22</v>
      </c>
      <c r="K100">
        <v>1</v>
      </c>
      <c r="L100">
        <v>1</v>
      </c>
      <c r="M100">
        <v>1</v>
      </c>
      <c r="N100">
        <v>1</v>
      </c>
      <c r="O100">
        <v>1</v>
      </c>
      <c r="P100" t="s">
        <v>410</v>
      </c>
    </row>
    <row r="101" spans="1:16" x14ac:dyDescent="0.25">
      <c r="A101" t="s">
        <v>92</v>
      </c>
      <c r="B101" t="s">
        <v>117</v>
      </c>
      <c r="C101">
        <v>0</v>
      </c>
      <c r="D101">
        <v>5.4211077690124512</v>
      </c>
      <c r="E101">
        <v>1</v>
      </c>
      <c r="F101">
        <v>1</v>
      </c>
      <c r="G101">
        <v>1</v>
      </c>
      <c r="H101">
        <v>1</v>
      </c>
      <c r="I101">
        <v>1</v>
      </c>
      <c r="J101">
        <v>0</v>
      </c>
      <c r="K101">
        <v>1</v>
      </c>
      <c r="L101">
        <v>1</v>
      </c>
      <c r="M101">
        <v>1</v>
      </c>
      <c r="N101">
        <v>1</v>
      </c>
      <c r="O101">
        <v>1</v>
      </c>
      <c r="P101" t="s">
        <v>411</v>
      </c>
    </row>
    <row r="102" spans="1:16" x14ac:dyDescent="0.25">
      <c r="A102" t="s">
        <v>92</v>
      </c>
      <c r="B102" t="s">
        <v>119</v>
      </c>
      <c r="C102">
        <v>0</v>
      </c>
      <c r="D102">
        <v>4.8732647895812988</v>
      </c>
      <c r="E102">
        <v>1</v>
      </c>
      <c r="F102">
        <v>1</v>
      </c>
      <c r="G102">
        <v>1</v>
      </c>
      <c r="H102">
        <v>1</v>
      </c>
      <c r="I102">
        <v>1</v>
      </c>
      <c r="J102">
        <v>0</v>
      </c>
      <c r="K102">
        <v>1</v>
      </c>
      <c r="L102">
        <v>1</v>
      </c>
      <c r="M102">
        <v>1</v>
      </c>
      <c r="N102">
        <v>1</v>
      </c>
      <c r="O102">
        <v>1</v>
      </c>
      <c r="P102" t="s">
        <v>412</v>
      </c>
    </row>
    <row r="103" spans="1:16" x14ac:dyDescent="0.25">
      <c r="A103" t="s">
        <v>92</v>
      </c>
      <c r="B103" t="s">
        <v>121</v>
      </c>
      <c r="C103">
        <v>0</v>
      </c>
      <c r="D103">
        <v>11.799198389053339</v>
      </c>
      <c r="E103">
        <v>1</v>
      </c>
      <c r="F103">
        <v>1</v>
      </c>
      <c r="G103">
        <v>1</v>
      </c>
      <c r="H103">
        <v>1</v>
      </c>
      <c r="I103">
        <v>1</v>
      </c>
      <c r="J103">
        <v>0</v>
      </c>
      <c r="K103">
        <v>1</v>
      </c>
      <c r="L103">
        <v>1</v>
      </c>
      <c r="M103">
        <v>1</v>
      </c>
      <c r="N103">
        <v>1</v>
      </c>
      <c r="O103">
        <v>1</v>
      </c>
      <c r="P103" t="s">
        <v>413</v>
      </c>
    </row>
    <row r="104" spans="1:16" x14ac:dyDescent="0.25">
      <c r="A104" t="s">
        <v>92</v>
      </c>
      <c r="B104" t="s">
        <v>122</v>
      </c>
      <c r="C104">
        <v>0</v>
      </c>
      <c r="D104">
        <v>4.8018643856048584</v>
      </c>
      <c r="E104">
        <v>1</v>
      </c>
      <c r="F104">
        <v>1</v>
      </c>
      <c r="G104">
        <v>1</v>
      </c>
      <c r="H104">
        <v>1</v>
      </c>
      <c r="I104">
        <v>1</v>
      </c>
      <c r="J104">
        <v>0</v>
      </c>
      <c r="K104">
        <v>1</v>
      </c>
      <c r="L104">
        <v>1</v>
      </c>
      <c r="M104">
        <v>1</v>
      </c>
      <c r="N104">
        <v>1</v>
      </c>
      <c r="O104">
        <v>1</v>
      </c>
      <c r="P104" t="s">
        <v>414</v>
      </c>
    </row>
    <row r="105" spans="1:16" x14ac:dyDescent="0.25">
      <c r="A105" t="s">
        <v>92</v>
      </c>
      <c r="B105" t="s">
        <v>124</v>
      </c>
      <c r="C105">
        <v>0</v>
      </c>
      <c r="D105">
        <v>12.271240949630741</v>
      </c>
      <c r="E105">
        <v>1</v>
      </c>
      <c r="F105">
        <v>1</v>
      </c>
      <c r="G105">
        <v>1</v>
      </c>
      <c r="H105">
        <v>0</v>
      </c>
      <c r="I105">
        <v>1</v>
      </c>
      <c r="J105">
        <v>1</v>
      </c>
      <c r="K105">
        <v>1</v>
      </c>
      <c r="L105">
        <v>1</v>
      </c>
      <c r="M105">
        <v>1</v>
      </c>
      <c r="N105">
        <v>1</v>
      </c>
      <c r="O105">
        <v>1</v>
      </c>
      <c r="P105" t="s">
        <v>415</v>
      </c>
    </row>
    <row r="106" spans="1:16" x14ac:dyDescent="0.25">
      <c r="A106" t="s">
        <v>92</v>
      </c>
      <c r="B106" t="s">
        <v>126</v>
      </c>
      <c r="C106">
        <v>0</v>
      </c>
      <c r="D106">
        <v>13.478208065032961</v>
      </c>
      <c r="E106">
        <v>1</v>
      </c>
      <c r="F106">
        <v>1</v>
      </c>
      <c r="G106">
        <v>1</v>
      </c>
      <c r="H106">
        <v>1</v>
      </c>
      <c r="I106">
        <v>1</v>
      </c>
      <c r="J106">
        <v>0</v>
      </c>
      <c r="K106">
        <v>0</v>
      </c>
      <c r="L106">
        <v>0</v>
      </c>
      <c r="M106">
        <v>1</v>
      </c>
      <c r="N106">
        <v>1</v>
      </c>
      <c r="O106">
        <v>1</v>
      </c>
      <c r="P106" t="s">
        <v>416</v>
      </c>
    </row>
    <row r="107" spans="1:16" x14ac:dyDescent="0.25">
      <c r="A107" t="s">
        <v>92</v>
      </c>
      <c r="B107" t="s">
        <v>128</v>
      </c>
      <c r="C107">
        <v>0</v>
      </c>
      <c r="D107">
        <v>11.56976890563965</v>
      </c>
      <c r="E107">
        <v>0</v>
      </c>
      <c r="F107" t="s">
        <v>22</v>
      </c>
      <c r="G107" t="s">
        <v>22</v>
      </c>
      <c r="H107" t="s">
        <v>22</v>
      </c>
      <c r="I107" t="s">
        <v>22</v>
      </c>
      <c r="J107" t="s">
        <v>22</v>
      </c>
      <c r="K107" t="s">
        <v>22</v>
      </c>
      <c r="L107" t="s">
        <v>22</v>
      </c>
      <c r="M107" t="s">
        <v>22</v>
      </c>
      <c r="N107" t="s">
        <v>22</v>
      </c>
      <c r="O107" t="s">
        <v>22</v>
      </c>
      <c r="P107" t="s">
        <v>417</v>
      </c>
    </row>
    <row r="108" spans="1:16" x14ac:dyDescent="0.25">
      <c r="A108" t="s">
        <v>92</v>
      </c>
      <c r="B108" t="s">
        <v>130</v>
      </c>
      <c r="C108">
        <v>0</v>
      </c>
      <c r="D108">
        <v>12.51150298118591</v>
      </c>
      <c r="E108">
        <v>1</v>
      </c>
      <c r="F108">
        <v>1</v>
      </c>
      <c r="G108">
        <v>1</v>
      </c>
      <c r="H108">
        <v>1</v>
      </c>
      <c r="I108">
        <v>1</v>
      </c>
      <c r="J108">
        <v>0</v>
      </c>
      <c r="K108">
        <v>1</v>
      </c>
      <c r="L108">
        <v>1</v>
      </c>
      <c r="M108">
        <v>1</v>
      </c>
      <c r="N108">
        <v>1</v>
      </c>
      <c r="O108">
        <v>1</v>
      </c>
      <c r="P108" t="s">
        <v>418</v>
      </c>
    </row>
    <row r="109" spans="1:16" x14ac:dyDescent="0.25">
      <c r="A109" t="s">
        <v>92</v>
      </c>
      <c r="B109" t="s">
        <v>131</v>
      </c>
      <c r="C109">
        <v>0</v>
      </c>
      <c r="D109">
        <v>12.570099115371701</v>
      </c>
      <c r="E109">
        <v>1</v>
      </c>
      <c r="F109">
        <v>1</v>
      </c>
      <c r="G109">
        <v>1</v>
      </c>
      <c r="H109">
        <v>1</v>
      </c>
      <c r="I109">
        <v>1</v>
      </c>
      <c r="J109">
        <v>1</v>
      </c>
      <c r="K109">
        <v>1</v>
      </c>
      <c r="L109">
        <v>1</v>
      </c>
      <c r="M109">
        <v>1</v>
      </c>
      <c r="N109">
        <v>1</v>
      </c>
      <c r="O109">
        <v>1</v>
      </c>
    </row>
    <row r="110" spans="1:16" x14ac:dyDescent="0.25">
      <c r="A110" t="s">
        <v>92</v>
      </c>
      <c r="B110" t="s">
        <v>133</v>
      </c>
      <c r="C110">
        <v>0</v>
      </c>
      <c r="D110">
        <v>8.9968225955963135</v>
      </c>
      <c r="E110">
        <v>1</v>
      </c>
      <c r="F110">
        <v>1</v>
      </c>
      <c r="G110">
        <v>1</v>
      </c>
      <c r="H110">
        <v>1</v>
      </c>
      <c r="I110">
        <v>1</v>
      </c>
      <c r="J110">
        <v>1</v>
      </c>
      <c r="K110">
        <v>1</v>
      </c>
      <c r="L110">
        <v>1</v>
      </c>
      <c r="M110">
        <v>1</v>
      </c>
      <c r="N110">
        <v>1</v>
      </c>
      <c r="O110">
        <v>1</v>
      </c>
    </row>
    <row r="111" spans="1:16" x14ac:dyDescent="0.25">
      <c r="A111" t="s">
        <v>92</v>
      </c>
      <c r="B111" t="s">
        <v>135</v>
      </c>
      <c r="C111">
        <v>0</v>
      </c>
      <c r="D111">
        <v>6.4610023498535156</v>
      </c>
      <c r="E111">
        <v>1</v>
      </c>
      <c r="F111">
        <v>1</v>
      </c>
      <c r="G111">
        <v>1</v>
      </c>
      <c r="H111">
        <v>1</v>
      </c>
      <c r="I111">
        <v>1</v>
      </c>
      <c r="J111">
        <v>0</v>
      </c>
      <c r="K111">
        <v>0</v>
      </c>
      <c r="L111">
        <v>0</v>
      </c>
      <c r="M111">
        <v>1</v>
      </c>
      <c r="N111">
        <v>1</v>
      </c>
      <c r="O111">
        <v>1</v>
      </c>
      <c r="P111" t="s">
        <v>419</v>
      </c>
    </row>
    <row r="112" spans="1:16" x14ac:dyDescent="0.25">
      <c r="A112" t="s">
        <v>92</v>
      </c>
      <c r="B112" t="s">
        <v>137</v>
      </c>
      <c r="C112">
        <v>0</v>
      </c>
      <c r="D112">
        <v>3.052903413772583</v>
      </c>
      <c r="E112">
        <v>1</v>
      </c>
      <c r="F112">
        <v>1</v>
      </c>
      <c r="G112">
        <v>1</v>
      </c>
      <c r="H112">
        <v>1</v>
      </c>
      <c r="I112">
        <v>1</v>
      </c>
      <c r="J112">
        <v>1</v>
      </c>
      <c r="K112">
        <v>1</v>
      </c>
      <c r="L112">
        <v>1</v>
      </c>
      <c r="M112">
        <v>1</v>
      </c>
      <c r="N112">
        <v>1</v>
      </c>
      <c r="O112">
        <v>1</v>
      </c>
    </row>
    <row r="113" spans="1:16" x14ac:dyDescent="0.25">
      <c r="A113" t="s">
        <v>92</v>
      </c>
      <c r="B113" t="s">
        <v>138</v>
      </c>
      <c r="C113">
        <v>0</v>
      </c>
      <c r="D113">
        <v>5.6181707382202148</v>
      </c>
      <c r="E113">
        <v>1</v>
      </c>
      <c r="F113">
        <v>1</v>
      </c>
      <c r="G113">
        <v>1</v>
      </c>
      <c r="H113">
        <v>1</v>
      </c>
      <c r="I113">
        <v>1</v>
      </c>
      <c r="J113">
        <v>0</v>
      </c>
      <c r="K113">
        <v>1</v>
      </c>
      <c r="L113">
        <v>1</v>
      </c>
      <c r="M113">
        <v>1</v>
      </c>
      <c r="N113">
        <v>1</v>
      </c>
      <c r="O113">
        <v>1</v>
      </c>
      <c r="P113" t="s">
        <v>420</v>
      </c>
    </row>
    <row r="114" spans="1:16" x14ac:dyDescent="0.25">
      <c r="A114" t="s">
        <v>140</v>
      </c>
      <c r="B114" t="s">
        <v>17</v>
      </c>
      <c r="C114">
        <v>0</v>
      </c>
      <c r="D114">
        <v>2.859825611114502</v>
      </c>
      <c r="E114">
        <v>1</v>
      </c>
      <c r="F114">
        <v>1</v>
      </c>
      <c r="G114">
        <v>1</v>
      </c>
      <c r="H114">
        <v>1</v>
      </c>
      <c r="I114">
        <v>1</v>
      </c>
      <c r="J114">
        <v>1</v>
      </c>
      <c r="K114">
        <v>1</v>
      </c>
      <c r="L114">
        <v>1</v>
      </c>
      <c r="M114">
        <v>1</v>
      </c>
      <c r="N114">
        <v>1</v>
      </c>
      <c r="O114">
        <v>1</v>
      </c>
    </row>
    <row r="115" spans="1:16" x14ac:dyDescent="0.25">
      <c r="A115" t="s">
        <v>140</v>
      </c>
      <c r="B115" t="s">
        <v>19</v>
      </c>
      <c r="C115">
        <v>0</v>
      </c>
      <c r="D115">
        <v>6.6461310386657706</v>
      </c>
      <c r="E115">
        <v>1</v>
      </c>
      <c r="F115">
        <v>1</v>
      </c>
      <c r="G115">
        <v>1</v>
      </c>
      <c r="H115">
        <v>1</v>
      </c>
      <c r="I115">
        <v>1</v>
      </c>
      <c r="J115">
        <v>1</v>
      </c>
      <c r="K115">
        <v>1</v>
      </c>
      <c r="L115">
        <v>1</v>
      </c>
      <c r="M115">
        <v>1</v>
      </c>
      <c r="N115">
        <v>1</v>
      </c>
      <c r="O115">
        <v>1</v>
      </c>
    </row>
    <row r="116" spans="1:16" x14ac:dyDescent="0.25">
      <c r="A116" t="s">
        <v>140</v>
      </c>
      <c r="B116" t="s">
        <v>20</v>
      </c>
      <c r="C116">
        <v>0</v>
      </c>
      <c r="D116">
        <v>9.7653164863586426</v>
      </c>
      <c r="E116">
        <v>1</v>
      </c>
      <c r="F116">
        <v>1</v>
      </c>
      <c r="G116">
        <v>1</v>
      </c>
      <c r="H116">
        <v>1</v>
      </c>
      <c r="I116">
        <v>1</v>
      </c>
      <c r="J116">
        <v>1</v>
      </c>
      <c r="K116">
        <v>0</v>
      </c>
      <c r="L116">
        <v>1</v>
      </c>
      <c r="M116">
        <v>1</v>
      </c>
      <c r="N116">
        <v>1</v>
      </c>
      <c r="O116">
        <v>1</v>
      </c>
      <c r="P116" t="s">
        <v>421</v>
      </c>
    </row>
    <row r="117" spans="1:16" x14ac:dyDescent="0.25">
      <c r="A117" t="s">
        <v>140</v>
      </c>
      <c r="B117" t="s">
        <v>21</v>
      </c>
      <c r="C117">
        <v>0</v>
      </c>
      <c r="D117">
        <v>3.0266659259796138</v>
      </c>
      <c r="E117">
        <v>1</v>
      </c>
      <c r="F117">
        <v>1</v>
      </c>
      <c r="G117">
        <v>1</v>
      </c>
      <c r="H117">
        <v>1</v>
      </c>
      <c r="I117">
        <v>1</v>
      </c>
      <c r="J117">
        <v>1</v>
      </c>
      <c r="K117">
        <v>1</v>
      </c>
      <c r="L117">
        <v>1</v>
      </c>
      <c r="M117">
        <v>1</v>
      </c>
      <c r="N117">
        <v>1</v>
      </c>
      <c r="O117">
        <v>1</v>
      </c>
    </row>
    <row r="118" spans="1:16" x14ac:dyDescent="0.25">
      <c r="A118" t="s">
        <v>140</v>
      </c>
      <c r="B118" t="s">
        <v>24</v>
      </c>
      <c r="C118">
        <v>0</v>
      </c>
      <c r="D118">
        <v>2.8256287574768071</v>
      </c>
      <c r="E118">
        <v>1</v>
      </c>
      <c r="F118">
        <v>1</v>
      </c>
      <c r="G118">
        <v>1</v>
      </c>
      <c r="H118">
        <v>1</v>
      </c>
      <c r="I118">
        <v>1</v>
      </c>
      <c r="J118">
        <v>1</v>
      </c>
      <c r="K118">
        <v>1</v>
      </c>
      <c r="L118">
        <v>1</v>
      </c>
      <c r="M118">
        <v>1</v>
      </c>
      <c r="N118">
        <v>1</v>
      </c>
      <c r="O118">
        <v>1</v>
      </c>
    </row>
    <row r="119" spans="1:16" x14ac:dyDescent="0.25">
      <c r="A119" t="s">
        <v>140</v>
      </c>
      <c r="B119" t="s">
        <v>25</v>
      </c>
      <c r="C119">
        <v>0</v>
      </c>
      <c r="D119">
        <v>12.28523683547974</v>
      </c>
      <c r="E119">
        <v>1</v>
      </c>
      <c r="F119">
        <v>0</v>
      </c>
      <c r="G119">
        <v>1</v>
      </c>
      <c r="H119" t="s">
        <v>22</v>
      </c>
      <c r="I119">
        <v>1</v>
      </c>
      <c r="J119" t="s">
        <v>22</v>
      </c>
      <c r="K119">
        <v>1</v>
      </c>
      <c r="L119">
        <v>1</v>
      </c>
      <c r="M119">
        <v>0</v>
      </c>
      <c r="N119">
        <v>1</v>
      </c>
      <c r="O119">
        <v>1</v>
      </c>
      <c r="P119" t="s">
        <v>422</v>
      </c>
    </row>
    <row r="120" spans="1:16" x14ac:dyDescent="0.25">
      <c r="A120" t="s">
        <v>140</v>
      </c>
      <c r="B120" t="s">
        <v>26</v>
      </c>
      <c r="C120">
        <v>0</v>
      </c>
      <c r="D120">
        <v>7.3478014469146729</v>
      </c>
      <c r="E120">
        <v>1</v>
      </c>
      <c r="F120">
        <v>1</v>
      </c>
      <c r="G120">
        <v>0</v>
      </c>
      <c r="H120" t="s">
        <v>22</v>
      </c>
      <c r="I120">
        <v>1</v>
      </c>
      <c r="J120">
        <v>1</v>
      </c>
      <c r="K120">
        <v>1</v>
      </c>
      <c r="L120">
        <v>1</v>
      </c>
      <c r="M120">
        <v>1</v>
      </c>
      <c r="N120">
        <v>1</v>
      </c>
      <c r="O120">
        <v>1</v>
      </c>
      <c r="P120" t="s">
        <v>423</v>
      </c>
    </row>
    <row r="121" spans="1:16" x14ac:dyDescent="0.25">
      <c r="A121" t="s">
        <v>140</v>
      </c>
      <c r="B121" t="s">
        <v>27</v>
      </c>
      <c r="C121">
        <v>0</v>
      </c>
      <c r="D121">
        <v>9.4096903800964355</v>
      </c>
      <c r="E121">
        <v>1</v>
      </c>
      <c r="F121">
        <v>1</v>
      </c>
      <c r="G121">
        <v>1</v>
      </c>
      <c r="H121">
        <v>1</v>
      </c>
      <c r="I121">
        <v>1</v>
      </c>
      <c r="J121">
        <v>1</v>
      </c>
      <c r="K121">
        <v>1</v>
      </c>
      <c r="L121">
        <v>1</v>
      </c>
      <c r="M121">
        <v>1</v>
      </c>
      <c r="N121">
        <v>1</v>
      </c>
      <c r="O121">
        <v>1</v>
      </c>
    </row>
    <row r="122" spans="1:16" x14ac:dyDescent="0.25">
      <c r="A122" t="s">
        <v>140</v>
      </c>
      <c r="B122" t="s">
        <v>28</v>
      </c>
      <c r="C122">
        <v>0</v>
      </c>
      <c r="D122">
        <v>9.9862918853759766</v>
      </c>
      <c r="E122">
        <v>1</v>
      </c>
      <c r="F122">
        <v>1</v>
      </c>
      <c r="G122">
        <v>1</v>
      </c>
      <c r="H122">
        <v>1</v>
      </c>
      <c r="I122">
        <v>1</v>
      </c>
      <c r="J122">
        <v>1</v>
      </c>
      <c r="K122">
        <v>1</v>
      </c>
      <c r="L122">
        <v>1</v>
      </c>
      <c r="M122">
        <v>1</v>
      </c>
      <c r="N122">
        <v>1</v>
      </c>
      <c r="O122">
        <v>1</v>
      </c>
    </row>
    <row r="123" spans="1:16" x14ac:dyDescent="0.25">
      <c r="A123" t="s">
        <v>140</v>
      </c>
      <c r="B123" t="s">
        <v>29</v>
      </c>
      <c r="C123">
        <v>0</v>
      </c>
      <c r="D123">
        <v>5.7786765098571777</v>
      </c>
      <c r="E123">
        <v>1</v>
      </c>
      <c r="F123">
        <v>0</v>
      </c>
      <c r="G123">
        <v>1</v>
      </c>
      <c r="H123" t="s">
        <v>22</v>
      </c>
      <c r="I123">
        <v>1</v>
      </c>
      <c r="J123" t="s">
        <v>22</v>
      </c>
      <c r="K123">
        <v>1</v>
      </c>
      <c r="L123">
        <v>1</v>
      </c>
      <c r="M123">
        <v>1</v>
      </c>
      <c r="N123">
        <v>1</v>
      </c>
      <c r="O123">
        <v>1</v>
      </c>
      <c r="P123" t="s">
        <v>424</v>
      </c>
    </row>
    <row r="124" spans="1:16" x14ac:dyDescent="0.25">
      <c r="A124" t="s">
        <v>140</v>
      </c>
      <c r="B124" t="s">
        <v>30</v>
      </c>
      <c r="C124">
        <v>0</v>
      </c>
      <c r="D124">
        <v>12.701556444168091</v>
      </c>
      <c r="E124">
        <v>1</v>
      </c>
      <c r="F124">
        <v>0</v>
      </c>
      <c r="G124">
        <v>1</v>
      </c>
      <c r="H124" t="s">
        <v>22</v>
      </c>
      <c r="I124">
        <v>1</v>
      </c>
      <c r="J124" t="s">
        <v>22</v>
      </c>
      <c r="K124">
        <v>0</v>
      </c>
      <c r="L124">
        <v>1</v>
      </c>
      <c r="M124">
        <v>1</v>
      </c>
      <c r="N124">
        <v>1</v>
      </c>
      <c r="O124">
        <v>1</v>
      </c>
      <c r="P124" t="s">
        <v>425</v>
      </c>
    </row>
    <row r="125" spans="1:16" x14ac:dyDescent="0.25">
      <c r="A125" t="s">
        <v>140</v>
      </c>
      <c r="B125" t="s">
        <v>32</v>
      </c>
      <c r="C125">
        <v>0</v>
      </c>
      <c r="D125">
        <v>9.9869911670684814</v>
      </c>
      <c r="E125">
        <v>1</v>
      </c>
      <c r="F125">
        <v>1</v>
      </c>
      <c r="G125">
        <v>1</v>
      </c>
      <c r="H125">
        <v>1</v>
      </c>
      <c r="I125">
        <v>1</v>
      </c>
      <c r="J125">
        <v>1</v>
      </c>
      <c r="K125">
        <v>1</v>
      </c>
      <c r="L125">
        <v>1</v>
      </c>
      <c r="M125">
        <v>1</v>
      </c>
      <c r="N125">
        <v>1</v>
      </c>
      <c r="O125">
        <v>1</v>
      </c>
    </row>
    <row r="126" spans="1:16" x14ac:dyDescent="0.25">
      <c r="A126" t="s">
        <v>140</v>
      </c>
      <c r="B126" t="s">
        <v>33</v>
      </c>
      <c r="C126">
        <v>0</v>
      </c>
      <c r="D126">
        <v>10.75094652175903</v>
      </c>
      <c r="E126">
        <v>1</v>
      </c>
      <c r="F126">
        <v>1</v>
      </c>
      <c r="G126">
        <v>1</v>
      </c>
      <c r="H126">
        <v>1</v>
      </c>
      <c r="I126">
        <v>1</v>
      </c>
      <c r="J126">
        <v>1</v>
      </c>
      <c r="K126">
        <v>1</v>
      </c>
      <c r="L126">
        <v>1</v>
      </c>
      <c r="M126">
        <v>1</v>
      </c>
      <c r="N126">
        <v>1</v>
      </c>
      <c r="O126">
        <v>1</v>
      </c>
    </row>
    <row r="127" spans="1:16" x14ac:dyDescent="0.25">
      <c r="A127" t="s">
        <v>140</v>
      </c>
      <c r="B127" t="s">
        <v>35</v>
      </c>
      <c r="C127">
        <v>0</v>
      </c>
      <c r="D127">
        <v>9.1527278423309326</v>
      </c>
      <c r="E127">
        <v>1</v>
      </c>
      <c r="F127">
        <v>1</v>
      </c>
      <c r="G127">
        <v>1</v>
      </c>
      <c r="H127">
        <v>1</v>
      </c>
      <c r="I127">
        <v>1</v>
      </c>
      <c r="J127">
        <v>1</v>
      </c>
      <c r="K127">
        <v>1</v>
      </c>
      <c r="L127">
        <v>1</v>
      </c>
      <c r="M127">
        <v>1</v>
      </c>
      <c r="N127">
        <v>1</v>
      </c>
      <c r="O127">
        <v>1</v>
      </c>
    </row>
    <row r="128" spans="1:16" x14ac:dyDescent="0.25">
      <c r="A128" t="s">
        <v>140</v>
      </c>
      <c r="B128" t="s">
        <v>36</v>
      </c>
      <c r="C128">
        <v>0</v>
      </c>
      <c r="D128">
        <v>9.8636605739593506</v>
      </c>
      <c r="E128">
        <v>1</v>
      </c>
      <c r="F128">
        <v>1</v>
      </c>
      <c r="G128">
        <v>1</v>
      </c>
      <c r="H128">
        <v>1</v>
      </c>
      <c r="I128">
        <v>1</v>
      </c>
      <c r="J128">
        <v>1</v>
      </c>
      <c r="K128">
        <v>1</v>
      </c>
      <c r="L128">
        <v>1</v>
      </c>
      <c r="M128">
        <v>1</v>
      </c>
      <c r="N128">
        <v>1</v>
      </c>
      <c r="O128">
        <v>1</v>
      </c>
    </row>
    <row r="129" spans="1:16" x14ac:dyDescent="0.25">
      <c r="A129" t="s">
        <v>140</v>
      </c>
      <c r="B129" t="s">
        <v>38</v>
      </c>
      <c r="C129">
        <v>0</v>
      </c>
      <c r="D129">
        <v>2.9514174461364751</v>
      </c>
      <c r="E129">
        <v>1</v>
      </c>
      <c r="F129">
        <v>1</v>
      </c>
      <c r="G129">
        <v>1</v>
      </c>
      <c r="H129">
        <v>1</v>
      </c>
      <c r="I129">
        <v>1</v>
      </c>
      <c r="J129">
        <v>1</v>
      </c>
      <c r="K129">
        <v>1</v>
      </c>
      <c r="L129">
        <v>1</v>
      </c>
      <c r="M129">
        <v>1</v>
      </c>
      <c r="N129">
        <v>1</v>
      </c>
      <c r="O129">
        <v>1</v>
      </c>
    </row>
    <row r="130" spans="1:16" x14ac:dyDescent="0.25">
      <c r="A130" t="s">
        <v>140</v>
      </c>
      <c r="B130" t="s">
        <v>39</v>
      </c>
      <c r="C130">
        <v>0</v>
      </c>
      <c r="D130">
        <v>11.56546783447266</v>
      </c>
      <c r="E130">
        <v>1</v>
      </c>
      <c r="F130">
        <v>1</v>
      </c>
      <c r="G130">
        <v>1</v>
      </c>
      <c r="H130">
        <v>1</v>
      </c>
      <c r="I130">
        <v>1</v>
      </c>
      <c r="J130">
        <v>1</v>
      </c>
      <c r="K130">
        <v>1</v>
      </c>
      <c r="L130">
        <v>1</v>
      </c>
      <c r="M130">
        <v>1</v>
      </c>
      <c r="N130">
        <v>1</v>
      </c>
      <c r="O130">
        <v>1</v>
      </c>
    </row>
    <row r="131" spans="1:16" x14ac:dyDescent="0.25">
      <c r="A131" t="s">
        <v>140</v>
      </c>
      <c r="B131" t="s">
        <v>40</v>
      </c>
      <c r="C131">
        <v>0</v>
      </c>
      <c r="D131">
        <v>11.40987586975098</v>
      </c>
      <c r="E131">
        <v>1</v>
      </c>
      <c r="F131">
        <v>1</v>
      </c>
      <c r="G131">
        <v>1</v>
      </c>
      <c r="H131">
        <v>1</v>
      </c>
      <c r="I131">
        <v>1</v>
      </c>
      <c r="J131">
        <v>1</v>
      </c>
      <c r="K131">
        <v>1</v>
      </c>
      <c r="L131">
        <v>1</v>
      </c>
      <c r="M131">
        <v>1</v>
      </c>
      <c r="N131">
        <v>1</v>
      </c>
      <c r="O131">
        <v>1</v>
      </c>
    </row>
    <row r="132" spans="1:16" x14ac:dyDescent="0.25">
      <c r="A132" t="s">
        <v>140</v>
      </c>
      <c r="B132" t="s">
        <v>41</v>
      </c>
      <c r="C132">
        <v>0</v>
      </c>
      <c r="D132">
        <v>9.5429110527038574</v>
      </c>
      <c r="E132">
        <v>1</v>
      </c>
      <c r="F132">
        <v>1</v>
      </c>
      <c r="G132">
        <v>1</v>
      </c>
      <c r="H132">
        <v>1</v>
      </c>
      <c r="I132">
        <v>1</v>
      </c>
      <c r="J132">
        <v>1</v>
      </c>
      <c r="K132">
        <v>1</v>
      </c>
      <c r="L132">
        <v>1</v>
      </c>
      <c r="M132">
        <v>1</v>
      </c>
      <c r="N132">
        <v>1</v>
      </c>
      <c r="O132">
        <v>1</v>
      </c>
    </row>
    <row r="133" spans="1:16" x14ac:dyDescent="0.25">
      <c r="A133" t="s">
        <v>140</v>
      </c>
      <c r="B133" t="s">
        <v>43</v>
      </c>
      <c r="C133">
        <v>0</v>
      </c>
      <c r="D133">
        <v>13.42603611946106</v>
      </c>
      <c r="E133">
        <v>1</v>
      </c>
      <c r="F133">
        <v>1</v>
      </c>
      <c r="G133">
        <v>1</v>
      </c>
      <c r="H133">
        <v>1</v>
      </c>
      <c r="I133">
        <v>1</v>
      </c>
      <c r="J133">
        <v>1</v>
      </c>
      <c r="K133">
        <v>0</v>
      </c>
      <c r="L133">
        <v>1</v>
      </c>
      <c r="M133">
        <v>1</v>
      </c>
      <c r="N133">
        <v>1</v>
      </c>
      <c r="O133">
        <v>1</v>
      </c>
      <c r="P133" t="s">
        <v>426</v>
      </c>
    </row>
    <row r="134" spans="1:16" x14ac:dyDescent="0.25">
      <c r="A134" t="s">
        <v>140</v>
      </c>
      <c r="B134" t="s">
        <v>44</v>
      </c>
      <c r="C134">
        <v>0</v>
      </c>
      <c r="D134">
        <v>5.6969263553619376</v>
      </c>
      <c r="E134">
        <v>0</v>
      </c>
      <c r="F134" t="s">
        <v>22</v>
      </c>
      <c r="G134" t="s">
        <v>22</v>
      </c>
      <c r="H134" t="s">
        <v>22</v>
      </c>
      <c r="I134" t="s">
        <v>22</v>
      </c>
      <c r="J134" t="s">
        <v>22</v>
      </c>
      <c r="K134" t="s">
        <v>22</v>
      </c>
      <c r="L134" t="s">
        <v>22</v>
      </c>
      <c r="M134" t="s">
        <v>22</v>
      </c>
      <c r="N134" t="s">
        <v>22</v>
      </c>
      <c r="O134" t="s">
        <v>22</v>
      </c>
      <c r="P134" t="s">
        <v>427</v>
      </c>
    </row>
    <row r="135" spans="1:16" x14ac:dyDescent="0.25">
      <c r="A135" t="s">
        <v>140</v>
      </c>
      <c r="B135" t="s">
        <v>45</v>
      </c>
      <c r="C135">
        <v>0</v>
      </c>
      <c r="D135">
        <v>8.3928897380828857</v>
      </c>
      <c r="E135">
        <v>1</v>
      </c>
      <c r="F135">
        <v>1</v>
      </c>
      <c r="G135">
        <v>1</v>
      </c>
      <c r="H135">
        <v>1</v>
      </c>
      <c r="I135">
        <v>1</v>
      </c>
      <c r="J135">
        <v>1</v>
      </c>
      <c r="K135">
        <v>0</v>
      </c>
      <c r="L135">
        <v>1</v>
      </c>
      <c r="M135">
        <v>1</v>
      </c>
      <c r="N135">
        <v>1</v>
      </c>
      <c r="O135">
        <v>1</v>
      </c>
      <c r="P135" t="s">
        <v>428</v>
      </c>
    </row>
    <row r="136" spans="1:16" x14ac:dyDescent="0.25">
      <c r="A136" t="s">
        <v>140</v>
      </c>
      <c r="B136" t="s">
        <v>46</v>
      </c>
      <c r="C136">
        <v>0</v>
      </c>
      <c r="D136">
        <v>3.383682012557983</v>
      </c>
      <c r="E136">
        <v>1</v>
      </c>
      <c r="F136">
        <v>1</v>
      </c>
      <c r="G136">
        <v>1</v>
      </c>
      <c r="H136">
        <v>1</v>
      </c>
      <c r="I136">
        <v>1</v>
      </c>
      <c r="J136">
        <v>1</v>
      </c>
      <c r="K136">
        <v>1</v>
      </c>
      <c r="L136">
        <v>1</v>
      </c>
      <c r="M136">
        <v>1</v>
      </c>
      <c r="N136">
        <v>1</v>
      </c>
      <c r="O136">
        <v>1</v>
      </c>
    </row>
    <row r="137" spans="1:16" x14ac:dyDescent="0.25">
      <c r="A137" t="s">
        <v>140</v>
      </c>
      <c r="B137" t="s">
        <v>47</v>
      </c>
      <c r="C137">
        <v>0</v>
      </c>
      <c r="D137">
        <v>6.9275715351104736</v>
      </c>
      <c r="E137">
        <v>0</v>
      </c>
      <c r="F137" t="s">
        <v>22</v>
      </c>
      <c r="G137" t="s">
        <v>22</v>
      </c>
      <c r="H137" t="s">
        <v>22</v>
      </c>
      <c r="I137" t="s">
        <v>22</v>
      </c>
      <c r="J137" t="s">
        <v>22</v>
      </c>
      <c r="K137" t="s">
        <v>22</v>
      </c>
      <c r="L137" t="s">
        <v>22</v>
      </c>
      <c r="M137" t="s">
        <v>22</v>
      </c>
      <c r="N137" t="s">
        <v>22</v>
      </c>
      <c r="O137" t="s">
        <v>22</v>
      </c>
      <c r="P137" t="s">
        <v>429</v>
      </c>
    </row>
    <row r="138" spans="1:16" x14ac:dyDescent="0.25">
      <c r="A138" t="s">
        <v>140</v>
      </c>
      <c r="B138" t="s">
        <v>48</v>
      </c>
      <c r="C138">
        <v>0</v>
      </c>
      <c r="D138">
        <v>11.76107931137085</v>
      </c>
      <c r="E138">
        <v>1</v>
      </c>
      <c r="F138">
        <v>0</v>
      </c>
      <c r="G138">
        <v>1</v>
      </c>
      <c r="H138" t="s">
        <v>22</v>
      </c>
      <c r="I138">
        <v>1</v>
      </c>
      <c r="J138" t="s">
        <v>22</v>
      </c>
      <c r="K138">
        <v>1</v>
      </c>
      <c r="L138">
        <v>1</v>
      </c>
      <c r="M138">
        <v>1</v>
      </c>
      <c r="N138">
        <v>1</v>
      </c>
      <c r="O138">
        <v>1</v>
      </c>
      <c r="P138" t="s">
        <v>430</v>
      </c>
    </row>
    <row r="139" spans="1:16" x14ac:dyDescent="0.25">
      <c r="A139" t="s">
        <v>140</v>
      </c>
      <c r="B139" t="s">
        <v>49</v>
      </c>
      <c r="C139">
        <v>0</v>
      </c>
      <c r="D139">
        <v>8.0806581974029541</v>
      </c>
      <c r="E139">
        <v>0</v>
      </c>
      <c r="F139" t="s">
        <v>22</v>
      </c>
      <c r="G139" t="s">
        <v>22</v>
      </c>
      <c r="H139" t="s">
        <v>22</v>
      </c>
      <c r="I139" t="s">
        <v>22</v>
      </c>
      <c r="J139" t="s">
        <v>22</v>
      </c>
      <c r="K139" t="s">
        <v>22</v>
      </c>
      <c r="L139" t="s">
        <v>22</v>
      </c>
      <c r="M139" t="s">
        <v>22</v>
      </c>
      <c r="N139" t="s">
        <v>22</v>
      </c>
      <c r="O139" t="s">
        <v>22</v>
      </c>
      <c r="P139" t="s">
        <v>431</v>
      </c>
    </row>
    <row r="140" spans="1:16" x14ac:dyDescent="0.25">
      <c r="A140" t="s">
        <v>140</v>
      </c>
      <c r="B140" t="s">
        <v>51</v>
      </c>
      <c r="C140">
        <v>0</v>
      </c>
      <c r="D140">
        <v>12.672357320785521</v>
      </c>
      <c r="E140">
        <v>1</v>
      </c>
      <c r="F140">
        <v>0</v>
      </c>
      <c r="G140">
        <v>1</v>
      </c>
      <c r="H140" t="s">
        <v>22</v>
      </c>
      <c r="I140">
        <v>1</v>
      </c>
      <c r="J140" t="s">
        <v>22</v>
      </c>
      <c r="K140">
        <v>1</v>
      </c>
      <c r="L140">
        <v>1</v>
      </c>
      <c r="M140">
        <v>1</v>
      </c>
      <c r="N140">
        <v>1</v>
      </c>
      <c r="O140">
        <v>1</v>
      </c>
      <c r="P140" t="s">
        <v>432</v>
      </c>
    </row>
    <row r="141" spans="1:16" x14ac:dyDescent="0.25">
      <c r="A141" t="s">
        <v>140</v>
      </c>
      <c r="B141" t="s">
        <v>53</v>
      </c>
      <c r="C141">
        <v>0</v>
      </c>
      <c r="D141">
        <v>9.7303023338317871</v>
      </c>
      <c r="E141">
        <v>1</v>
      </c>
      <c r="F141">
        <v>1</v>
      </c>
      <c r="G141">
        <v>1</v>
      </c>
      <c r="H141">
        <v>1</v>
      </c>
      <c r="I141">
        <v>1</v>
      </c>
      <c r="J141">
        <v>1</v>
      </c>
      <c r="K141">
        <v>1</v>
      </c>
      <c r="L141">
        <v>1</v>
      </c>
      <c r="M141">
        <v>1</v>
      </c>
      <c r="N141">
        <v>1</v>
      </c>
      <c r="O141">
        <v>1</v>
      </c>
    </row>
    <row r="142" spans="1:16" x14ac:dyDescent="0.25">
      <c r="A142" t="s">
        <v>140</v>
      </c>
      <c r="B142" t="s">
        <v>54</v>
      </c>
      <c r="C142">
        <v>0</v>
      </c>
      <c r="D142">
        <v>8.4642517566680908</v>
      </c>
      <c r="E142">
        <v>1</v>
      </c>
      <c r="F142">
        <v>1</v>
      </c>
      <c r="G142">
        <v>1</v>
      </c>
      <c r="H142">
        <v>1</v>
      </c>
      <c r="I142">
        <v>1</v>
      </c>
      <c r="J142">
        <v>1</v>
      </c>
      <c r="K142">
        <v>1</v>
      </c>
      <c r="L142">
        <v>1</v>
      </c>
      <c r="M142">
        <v>1</v>
      </c>
      <c r="N142">
        <v>1</v>
      </c>
      <c r="O142">
        <v>1</v>
      </c>
    </row>
    <row r="143" spans="1:16" x14ac:dyDescent="0.25">
      <c r="A143" t="s">
        <v>140</v>
      </c>
      <c r="B143" t="s">
        <v>56</v>
      </c>
      <c r="C143">
        <v>0</v>
      </c>
      <c r="D143">
        <v>5.2122857570648193</v>
      </c>
      <c r="E143">
        <v>1</v>
      </c>
      <c r="F143">
        <v>1</v>
      </c>
      <c r="G143">
        <v>0</v>
      </c>
      <c r="H143" t="s">
        <v>22</v>
      </c>
      <c r="I143">
        <v>1</v>
      </c>
      <c r="J143">
        <v>1</v>
      </c>
      <c r="K143">
        <v>1</v>
      </c>
      <c r="L143">
        <v>1</v>
      </c>
      <c r="M143">
        <v>1</v>
      </c>
      <c r="N143">
        <v>1</v>
      </c>
      <c r="O143">
        <v>1</v>
      </c>
      <c r="P143" t="s">
        <v>433</v>
      </c>
    </row>
    <row r="144" spans="1:16" x14ac:dyDescent="0.25">
      <c r="A144" t="s">
        <v>140</v>
      </c>
      <c r="B144" t="s">
        <v>58</v>
      </c>
      <c r="C144">
        <v>0</v>
      </c>
      <c r="D144">
        <v>2.8370802402496338</v>
      </c>
      <c r="E144">
        <v>1</v>
      </c>
      <c r="F144">
        <v>1</v>
      </c>
      <c r="G144">
        <v>1</v>
      </c>
      <c r="H144">
        <v>1</v>
      </c>
      <c r="I144">
        <v>1</v>
      </c>
      <c r="J144">
        <v>1</v>
      </c>
      <c r="K144">
        <v>1</v>
      </c>
      <c r="L144">
        <v>1</v>
      </c>
      <c r="M144">
        <v>1</v>
      </c>
      <c r="N144">
        <v>1</v>
      </c>
      <c r="O144">
        <v>1</v>
      </c>
    </row>
    <row r="145" spans="1:16" x14ac:dyDescent="0.25">
      <c r="A145" t="s">
        <v>140</v>
      </c>
      <c r="B145" t="s">
        <v>60</v>
      </c>
      <c r="C145">
        <v>0</v>
      </c>
      <c r="D145">
        <v>10.03357625007629</v>
      </c>
      <c r="E145">
        <v>1</v>
      </c>
      <c r="F145">
        <v>1</v>
      </c>
      <c r="G145">
        <v>1</v>
      </c>
      <c r="H145">
        <v>1</v>
      </c>
      <c r="I145">
        <v>1</v>
      </c>
      <c r="J145">
        <v>1</v>
      </c>
      <c r="K145">
        <v>1</v>
      </c>
      <c r="L145">
        <v>1</v>
      </c>
      <c r="M145">
        <v>1</v>
      </c>
      <c r="N145">
        <v>1</v>
      </c>
      <c r="O145">
        <v>1</v>
      </c>
    </row>
    <row r="146" spans="1:16" x14ac:dyDescent="0.25">
      <c r="A146" t="s">
        <v>140</v>
      </c>
      <c r="B146" t="s">
        <v>62</v>
      </c>
      <c r="C146">
        <v>0</v>
      </c>
      <c r="D146">
        <v>2.992369413375854</v>
      </c>
      <c r="E146">
        <v>1</v>
      </c>
      <c r="F146">
        <v>1</v>
      </c>
      <c r="G146">
        <v>1</v>
      </c>
      <c r="H146">
        <v>1</v>
      </c>
      <c r="I146">
        <v>1</v>
      </c>
      <c r="J146">
        <v>1</v>
      </c>
      <c r="K146">
        <v>1</v>
      </c>
      <c r="L146">
        <v>1</v>
      </c>
      <c r="M146">
        <v>1</v>
      </c>
      <c r="N146">
        <v>1</v>
      </c>
      <c r="O146">
        <v>1</v>
      </c>
    </row>
    <row r="147" spans="1:16" x14ac:dyDescent="0.25">
      <c r="A147" t="s">
        <v>140</v>
      </c>
      <c r="B147" t="s">
        <v>64</v>
      </c>
      <c r="C147">
        <v>0</v>
      </c>
      <c r="D147">
        <v>10.382042646408079</v>
      </c>
      <c r="E147">
        <v>1</v>
      </c>
      <c r="F147">
        <v>1</v>
      </c>
      <c r="G147">
        <v>1</v>
      </c>
      <c r="H147">
        <v>1</v>
      </c>
      <c r="I147">
        <v>1</v>
      </c>
      <c r="J147">
        <v>1</v>
      </c>
      <c r="K147">
        <v>1</v>
      </c>
      <c r="L147">
        <v>1</v>
      </c>
      <c r="M147">
        <v>1</v>
      </c>
      <c r="N147">
        <v>1</v>
      </c>
      <c r="O147">
        <v>1</v>
      </c>
    </row>
    <row r="148" spans="1:16" x14ac:dyDescent="0.25">
      <c r="A148" t="s">
        <v>140</v>
      </c>
      <c r="B148" t="s">
        <v>66</v>
      </c>
      <c r="C148">
        <v>0</v>
      </c>
      <c r="D148">
        <v>10.228026151657099</v>
      </c>
      <c r="E148">
        <v>1</v>
      </c>
      <c r="F148">
        <v>1</v>
      </c>
      <c r="G148">
        <v>1</v>
      </c>
      <c r="H148">
        <v>1</v>
      </c>
      <c r="I148">
        <v>1</v>
      </c>
      <c r="J148">
        <v>1</v>
      </c>
      <c r="K148">
        <v>1</v>
      </c>
      <c r="L148">
        <v>1</v>
      </c>
      <c r="M148">
        <v>1</v>
      </c>
      <c r="N148">
        <v>1</v>
      </c>
      <c r="O148">
        <v>1</v>
      </c>
    </row>
    <row r="149" spans="1:16" x14ac:dyDescent="0.25">
      <c r="A149" t="s">
        <v>140</v>
      </c>
      <c r="B149" t="s">
        <v>67</v>
      </c>
      <c r="C149">
        <v>0</v>
      </c>
      <c r="D149">
        <v>10.53920483589172</v>
      </c>
      <c r="E149">
        <v>1</v>
      </c>
      <c r="F149">
        <v>1</v>
      </c>
      <c r="G149">
        <v>1</v>
      </c>
      <c r="H149">
        <v>1</v>
      </c>
      <c r="I149">
        <v>1</v>
      </c>
      <c r="J149">
        <v>1</v>
      </c>
      <c r="K149">
        <v>1</v>
      </c>
      <c r="L149">
        <v>1</v>
      </c>
      <c r="M149">
        <v>1</v>
      </c>
      <c r="N149">
        <v>1</v>
      </c>
      <c r="O149">
        <v>1</v>
      </c>
    </row>
    <row r="150" spans="1:16" x14ac:dyDescent="0.25">
      <c r="A150" t="s">
        <v>140</v>
      </c>
      <c r="B150" t="s">
        <v>69</v>
      </c>
      <c r="C150">
        <v>0</v>
      </c>
      <c r="D150">
        <v>9.1945066452026367</v>
      </c>
      <c r="E150">
        <v>1</v>
      </c>
      <c r="F150">
        <v>1</v>
      </c>
      <c r="G150">
        <v>1</v>
      </c>
      <c r="H150">
        <v>1</v>
      </c>
      <c r="I150">
        <v>1</v>
      </c>
      <c r="J150">
        <v>1</v>
      </c>
      <c r="K150">
        <v>1</v>
      </c>
      <c r="L150">
        <v>1</v>
      </c>
      <c r="M150">
        <v>1</v>
      </c>
      <c r="N150">
        <v>1</v>
      </c>
      <c r="O150">
        <v>1</v>
      </c>
    </row>
    <row r="151" spans="1:16" x14ac:dyDescent="0.25">
      <c r="A151" t="s">
        <v>140</v>
      </c>
      <c r="B151" t="s">
        <v>70</v>
      </c>
      <c r="C151">
        <v>0</v>
      </c>
      <c r="D151">
        <v>10.10239744186401</v>
      </c>
      <c r="E151">
        <v>1</v>
      </c>
      <c r="F151">
        <v>1</v>
      </c>
      <c r="G151">
        <v>1</v>
      </c>
      <c r="H151">
        <v>1</v>
      </c>
      <c r="I151">
        <v>1</v>
      </c>
      <c r="J151">
        <v>1</v>
      </c>
      <c r="K151">
        <v>1</v>
      </c>
      <c r="L151">
        <v>1</v>
      </c>
      <c r="M151">
        <v>1</v>
      </c>
      <c r="N151">
        <v>1</v>
      </c>
      <c r="O151">
        <v>1</v>
      </c>
    </row>
    <row r="152" spans="1:16" x14ac:dyDescent="0.25">
      <c r="A152" t="s">
        <v>140</v>
      </c>
      <c r="B152" t="s">
        <v>71</v>
      </c>
      <c r="C152">
        <v>0</v>
      </c>
      <c r="D152">
        <v>10.3297905921936</v>
      </c>
      <c r="E152">
        <v>1</v>
      </c>
      <c r="F152">
        <v>1</v>
      </c>
      <c r="G152">
        <v>1</v>
      </c>
      <c r="H152">
        <v>1</v>
      </c>
      <c r="I152">
        <v>1</v>
      </c>
      <c r="J152">
        <v>1</v>
      </c>
      <c r="K152">
        <v>1</v>
      </c>
      <c r="L152">
        <v>1</v>
      </c>
      <c r="M152">
        <v>1</v>
      </c>
      <c r="N152">
        <v>1</v>
      </c>
      <c r="O152">
        <v>1</v>
      </c>
    </row>
    <row r="153" spans="1:16" x14ac:dyDescent="0.25">
      <c r="A153" t="s">
        <v>140</v>
      </c>
      <c r="B153" t="s">
        <v>73</v>
      </c>
      <c r="C153">
        <v>0</v>
      </c>
      <c r="D153">
        <v>10.352025747299191</v>
      </c>
      <c r="E153">
        <v>1</v>
      </c>
      <c r="F153">
        <v>1</v>
      </c>
      <c r="G153">
        <v>1</v>
      </c>
      <c r="H153">
        <v>1</v>
      </c>
      <c r="I153">
        <v>1</v>
      </c>
      <c r="J153">
        <v>1</v>
      </c>
      <c r="K153">
        <v>1</v>
      </c>
      <c r="L153">
        <v>1</v>
      </c>
      <c r="M153">
        <v>1</v>
      </c>
      <c r="N153">
        <v>1</v>
      </c>
      <c r="O153">
        <v>1</v>
      </c>
    </row>
    <row r="154" spans="1:16" x14ac:dyDescent="0.25">
      <c r="A154" t="s">
        <v>140</v>
      </c>
      <c r="B154" t="s">
        <v>75</v>
      </c>
      <c r="C154">
        <v>0</v>
      </c>
      <c r="D154">
        <v>2.9948596954345699</v>
      </c>
      <c r="E154">
        <v>1</v>
      </c>
      <c r="F154">
        <v>1</v>
      </c>
      <c r="G154">
        <v>1</v>
      </c>
      <c r="H154">
        <v>1</v>
      </c>
      <c r="I154">
        <v>1</v>
      </c>
      <c r="J154">
        <v>1</v>
      </c>
      <c r="K154">
        <v>1</v>
      </c>
      <c r="L154">
        <v>1</v>
      </c>
      <c r="M154">
        <v>1</v>
      </c>
      <c r="N154">
        <v>1</v>
      </c>
      <c r="O154">
        <v>1</v>
      </c>
    </row>
    <row r="155" spans="1:16" x14ac:dyDescent="0.25">
      <c r="A155" t="s">
        <v>140</v>
      </c>
      <c r="B155" t="s">
        <v>77</v>
      </c>
      <c r="C155">
        <v>0</v>
      </c>
      <c r="D155">
        <v>9.3975265026092529</v>
      </c>
      <c r="E155">
        <v>1</v>
      </c>
      <c r="F155">
        <v>1</v>
      </c>
      <c r="G155">
        <v>1</v>
      </c>
      <c r="H155">
        <v>1</v>
      </c>
      <c r="I155">
        <v>1</v>
      </c>
      <c r="J155">
        <v>1</v>
      </c>
      <c r="K155">
        <v>1</v>
      </c>
      <c r="L155">
        <v>1</v>
      </c>
      <c r="M155">
        <v>1</v>
      </c>
      <c r="N155">
        <v>1</v>
      </c>
      <c r="O155">
        <v>1</v>
      </c>
    </row>
    <row r="156" spans="1:16" x14ac:dyDescent="0.25">
      <c r="A156" t="s">
        <v>140</v>
      </c>
      <c r="B156" t="s">
        <v>79</v>
      </c>
      <c r="C156">
        <v>0</v>
      </c>
      <c r="D156">
        <v>14.91713857650757</v>
      </c>
      <c r="E156">
        <v>0</v>
      </c>
      <c r="F156" t="s">
        <v>22</v>
      </c>
      <c r="G156" t="s">
        <v>22</v>
      </c>
      <c r="H156" t="s">
        <v>22</v>
      </c>
      <c r="I156" t="s">
        <v>22</v>
      </c>
      <c r="J156" t="s">
        <v>22</v>
      </c>
      <c r="K156" t="s">
        <v>22</v>
      </c>
      <c r="L156" t="s">
        <v>22</v>
      </c>
      <c r="M156" t="s">
        <v>22</v>
      </c>
      <c r="N156" t="s">
        <v>22</v>
      </c>
      <c r="O156" t="s">
        <v>22</v>
      </c>
      <c r="P156" t="s">
        <v>434</v>
      </c>
    </row>
    <row r="157" spans="1:16" x14ac:dyDescent="0.25">
      <c r="A157" t="s">
        <v>140</v>
      </c>
      <c r="B157" t="s">
        <v>81</v>
      </c>
      <c r="C157">
        <v>0</v>
      </c>
      <c r="D157">
        <v>8.1755390167236328</v>
      </c>
      <c r="E157">
        <v>1</v>
      </c>
      <c r="F157">
        <v>1</v>
      </c>
      <c r="G157">
        <v>1</v>
      </c>
      <c r="H157">
        <v>1</v>
      </c>
      <c r="I157">
        <v>1</v>
      </c>
      <c r="J157">
        <v>0</v>
      </c>
      <c r="K157">
        <v>1</v>
      </c>
      <c r="L157">
        <v>1</v>
      </c>
      <c r="M157">
        <v>1</v>
      </c>
      <c r="N157">
        <v>1</v>
      </c>
      <c r="O157">
        <v>1</v>
      </c>
      <c r="P157" t="s">
        <v>435</v>
      </c>
    </row>
    <row r="158" spans="1:16" x14ac:dyDescent="0.25">
      <c r="A158" t="s">
        <v>140</v>
      </c>
      <c r="B158" t="s">
        <v>83</v>
      </c>
      <c r="C158">
        <v>0</v>
      </c>
      <c r="D158">
        <v>4.7847638130187988</v>
      </c>
      <c r="E158">
        <v>1</v>
      </c>
      <c r="F158">
        <v>1</v>
      </c>
      <c r="G158">
        <v>1</v>
      </c>
      <c r="H158">
        <v>1</v>
      </c>
      <c r="I158">
        <v>1</v>
      </c>
      <c r="J158">
        <v>0</v>
      </c>
      <c r="K158">
        <v>1</v>
      </c>
      <c r="L158">
        <v>1</v>
      </c>
      <c r="M158">
        <v>1</v>
      </c>
      <c r="N158">
        <v>1</v>
      </c>
      <c r="O158">
        <v>1</v>
      </c>
      <c r="P158" t="s">
        <v>436</v>
      </c>
    </row>
    <row r="159" spans="1:16" x14ac:dyDescent="0.25">
      <c r="A159" t="s">
        <v>140</v>
      </c>
      <c r="B159" t="s">
        <v>85</v>
      </c>
      <c r="C159">
        <v>0</v>
      </c>
      <c r="D159">
        <v>5.8447463512420654</v>
      </c>
      <c r="E159">
        <v>1</v>
      </c>
      <c r="F159">
        <v>1</v>
      </c>
      <c r="G159">
        <v>1</v>
      </c>
      <c r="H159">
        <v>1</v>
      </c>
      <c r="I159">
        <v>1</v>
      </c>
      <c r="J159">
        <v>0</v>
      </c>
      <c r="K159">
        <v>1</v>
      </c>
      <c r="L159">
        <v>1</v>
      </c>
      <c r="M159">
        <v>1</v>
      </c>
      <c r="N159">
        <v>1</v>
      </c>
      <c r="O159">
        <v>1</v>
      </c>
      <c r="P159" t="s">
        <v>437</v>
      </c>
    </row>
    <row r="160" spans="1:16" x14ac:dyDescent="0.25">
      <c r="A160" t="s">
        <v>140</v>
      </c>
      <c r="B160" t="s">
        <v>87</v>
      </c>
      <c r="C160">
        <v>0</v>
      </c>
      <c r="D160">
        <v>4.8777856826782227</v>
      </c>
      <c r="E160">
        <v>0</v>
      </c>
      <c r="F160" t="s">
        <v>22</v>
      </c>
      <c r="G160" t="s">
        <v>22</v>
      </c>
      <c r="H160" t="s">
        <v>22</v>
      </c>
      <c r="I160" t="s">
        <v>22</v>
      </c>
      <c r="J160" t="s">
        <v>22</v>
      </c>
      <c r="K160" t="s">
        <v>22</v>
      </c>
      <c r="L160" t="s">
        <v>22</v>
      </c>
      <c r="M160" t="s">
        <v>22</v>
      </c>
      <c r="N160" t="s">
        <v>22</v>
      </c>
      <c r="O160" t="s">
        <v>22</v>
      </c>
      <c r="P160" t="s">
        <v>438</v>
      </c>
    </row>
    <row r="161" spans="1:16" x14ac:dyDescent="0.25">
      <c r="A161" t="s">
        <v>140</v>
      </c>
      <c r="B161" t="s">
        <v>89</v>
      </c>
      <c r="C161">
        <v>0</v>
      </c>
      <c r="D161">
        <v>5.4462416172027588</v>
      </c>
      <c r="E161">
        <v>1</v>
      </c>
      <c r="F161">
        <v>1</v>
      </c>
      <c r="G161">
        <v>1</v>
      </c>
      <c r="H161">
        <v>1</v>
      </c>
      <c r="I161">
        <v>1</v>
      </c>
      <c r="J161">
        <v>0</v>
      </c>
      <c r="K161">
        <v>1</v>
      </c>
      <c r="L161">
        <v>1</v>
      </c>
      <c r="M161">
        <v>1</v>
      </c>
      <c r="N161">
        <v>1</v>
      </c>
      <c r="O161">
        <v>1</v>
      </c>
      <c r="P161" t="s">
        <v>439</v>
      </c>
    </row>
    <row r="162" spans="1:16" x14ac:dyDescent="0.25">
      <c r="A162" t="s">
        <v>140</v>
      </c>
      <c r="B162" t="s">
        <v>90</v>
      </c>
      <c r="C162">
        <v>0</v>
      </c>
      <c r="D162">
        <v>12.51419258117676</v>
      </c>
      <c r="E162">
        <v>1</v>
      </c>
      <c r="F162">
        <v>1</v>
      </c>
      <c r="G162">
        <v>1</v>
      </c>
      <c r="H162">
        <v>1</v>
      </c>
      <c r="I162">
        <v>1</v>
      </c>
      <c r="J162">
        <v>0</v>
      </c>
      <c r="K162">
        <v>1</v>
      </c>
      <c r="L162">
        <v>1</v>
      </c>
      <c r="M162">
        <v>1</v>
      </c>
      <c r="N162">
        <v>1</v>
      </c>
      <c r="O162">
        <v>1</v>
      </c>
      <c r="P162" t="s">
        <v>440</v>
      </c>
    </row>
    <row r="163" spans="1:16" x14ac:dyDescent="0.25">
      <c r="A163" t="s">
        <v>140</v>
      </c>
      <c r="B163" t="s">
        <v>115</v>
      </c>
      <c r="C163">
        <v>0</v>
      </c>
      <c r="D163">
        <v>12.31331729888916</v>
      </c>
      <c r="E163">
        <v>1</v>
      </c>
      <c r="F163">
        <v>1</v>
      </c>
      <c r="G163">
        <v>1</v>
      </c>
      <c r="H163">
        <v>1</v>
      </c>
      <c r="I163">
        <v>1</v>
      </c>
      <c r="J163">
        <v>0</v>
      </c>
      <c r="K163">
        <v>1</v>
      </c>
      <c r="L163">
        <v>1</v>
      </c>
      <c r="M163">
        <v>1</v>
      </c>
      <c r="N163">
        <v>1</v>
      </c>
      <c r="O163">
        <v>1</v>
      </c>
      <c r="P163" t="s">
        <v>441</v>
      </c>
    </row>
    <row r="164" spans="1:16" x14ac:dyDescent="0.25">
      <c r="A164" t="s">
        <v>140</v>
      </c>
      <c r="B164" t="s">
        <v>117</v>
      </c>
      <c r="C164">
        <v>0</v>
      </c>
      <c r="D164">
        <v>12.62778162956238</v>
      </c>
      <c r="E164">
        <v>1</v>
      </c>
      <c r="F164">
        <v>1</v>
      </c>
      <c r="G164">
        <v>1</v>
      </c>
      <c r="H164">
        <v>1</v>
      </c>
      <c r="I164">
        <v>1</v>
      </c>
      <c r="J164">
        <v>0</v>
      </c>
      <c r="K164">
        <v>1</v>
      </c>
      <c r="L164">
        <v>1</v>
      </c>
      <c r="M164">
        <v>1</v>
      </c>
      <c r="N164">
        <v>1</v>
      </c>
      <c r="O164">
        <v>1</v>
      </c>
      <c r="P164" t="s">
        <v>442</v>
      </c>
    </row>
    <row r="165" spans="1:16" x14ac:dyDescent="0.25">
      <c r="A165" t="s">
        <v>140</v>
      </c>
      <c r="B165" t="s">
        <v>119</v>
      </c>
      <c r="C165">
        <v>0</v>
      </c>
      <c r="D165">
        <v>14.24064970016479</v>
      </c>
      <c r="E165">
        <v>1</v>
      </c>
      <c r="F165">
        <v>1</v>
      </c>
      <c r="G165">
        <v>1</v>
      </c>
      <c r="H165">
        <v>1</v>
      </c>
      <c r="I165">
        <v>1</v>
      </c>
      <c r="J165">
        <v>0</v>
      </c>
      <c r="K165">
        <v>0</v>
      </c>
      <c r="L165">
        <v>1</v>
      </c>
      <c r="M165">
        <v>1</v>
      </c>
      <c r="N165">
        <v>1</v>
      </c>
      <c r="O165">
        <v>1</v>
      </c>
      <c r="P165" t="s">
        <v>443</v>
      </c>
    </row>
    <row r="166" spans="1:16" x14ac:dyDescent="0.25">
      <c r="A166" t="s">
        <v>140</v>
      </c>
      <c r="B166" t="s">
        <v>121</v>
      </c>
      <c r="C166">
        <v>0</v>
      </c>
      <c r="D166">
        <v>4.6663520336151123</v>
      </c>
      <c r="E166">
        <v>1</v>
      </c>
      <c r="F166">
        <v>1</v>
      </c>
      <c r="G166">
        <v>1</v>
      </c>
      <c r="H166">
        <v>1</v>
      </c>
      <c r="I166">
        <v>1</v>
      </c>
      <c r="J166">
        <v>0</v>
      </c>
      <c r="K166">
        <v>1</v>
      </c>
      <c r="L166">
        <v>1</v>
      </c>
      <c r="M166">
        <v>1</v>
      </c>
      <c r="N166">
        <v>1</v>
      </c>
      <c r="O166">
        <v>1</v>
      </c>
      <c r="P166" t="s">
        <v>444</v>
      </c>
    </row>
    <row r="167" spans="1:16" x14ac:dyDescent="0.25">
      <c r="A167" t="s">
        <v>140</v>
      </c>
      <c r="B167" t="s">
        <v>122</v>
      </c>
      <c r="C167">
        <v>0</v>
      </c>
      <c r="D167">
        <v>5.5493102073669434</v>
      </c>
      <c r="E167">
        <v>1</v>
      </c>
      <c r="F167">
        <v>1</v>
      </c>
      <c r="G167">
        <v>1</v>
      </c>
      <c r="H167">
        <v>1</v>
      </c>
      <c r="I167">
        <v>1</v>
      </c>
      <c r="J167">
        <v>0</v>
      </c>
      <c r="K167">
        <v>1</v>
      </c>
      <c r="L167">
        <v>1</v>
      </c>
      <c r="M167">
        <v>1</v>
      </c>
      <c r="N167">
        <v>1</v>
      </c>
      <c r="O167">
        <v>1</v>
      </c>
      <c r="P167" t="s">
        <v>445</v>
      </c>
    </row>
    <row r="168" spans="1:16" x14ac:dyDescent="0.25">
      <c r="A168" t="s">
        <v>140</v>
      </c>
      <c r="B168" t="s">
        <v>124</v>
      </c>
      <c r="C168">
        <v>0</v>
      </c>
      <c r="D168">
        <v>7.6438841819763184</v>
      </c>
      <c r="E168">
        <v>1</v>
      </c>
      <c r="F168">
        <v>1</v>
      </c>
      <c r="G168">
        <v>1</v>
      </c>
      <c r="H168">
        <v>1</v>
      </c>
      <c r="I168">
        <v>1</v>
      </c>
      <c r="J168">
        <v>0</v>
      </c>
      <c r="K168">
        <v>1</v>
      </c>
      <c r="L168">
        <v>1</v>
      </c>
      <c r="M168">
        <v>1</v>
      </c>
      <c r="N168">
        <v>1</v>
      </c>
      <c r="O168">
        <v>1</v>
      </c>
      <c r="P168" t="s">
        <v>446</v>
      </c>
    </row>
    <row r="169" spans="1:16" x14ac:dyDescent="0.25">
      <c r="A169" t="s">
        <v>140</v>
      </c>
      <c r="B169" t="s">
        <v>126</v>
      </c>
      <c r="C169">
        <v>0</v>
      </c>
      <c r="D169">
        <v>13.01189708709717</v>
      </c>
      <c r="E169">
        <v>1</v>
      </c>
      <c r="F169">
        <v>1</v>
      </c>
      <c r="G169">
        <v>1</v>
      </c>
      <c r="H169">
        <v>1</v>
      </c>
      <c r="I169">
        <v>1</v>
      </c>
      <c r="J169">
        <v>0</v>
      </c>
      <c r="K169">
        <v>1</v>
      </c>
      <c r="L169">
        <v>1</v>
      </c>
      <c r="M169">
        <v>1</v>
      </c>
      <c r="N169">
        <v>1</v>
      </c>
      <c r="O169">
        <v>1</v>
      </c>
      <c r="P169" t="s">
        <v>447</v>
      </c>
    </row>
    <row r="170" spans="1:16" x14ac:dyDescent="0.25">
      <c r="A170" t="s">
        <v>140</v>
      </c>
      <c r="B170" t="s">
        <v>128</v>
      </c>
      <c r="C170">
        <v>0</v>
      </c>
      <c r="D170">
        <v>4.563511848449707</v>
      </c>
      <c r="E170">
        <v>1</v>
      </c>
      <c r="F170">
        <v>1</v>
      </c>
      <c r="G170">
        <v>1</v>
      </c>
      <c r="H170">
        <v>1</v>
      </c>
      <c r="I170">
        <v>1</v>
      </c>
      <c r="J170">
        <v>0</v>
      </c>
      <c r="K170">
        <v>1</v>
      </c>
      <c r="L170">
        <v>1</v>
      </c>
      <c r="M170">
        <v>1</v>
      </c>
      <c r="N170">
        <v>1</v>
      </c>
      <c r="O170">
        <v>1</v>
      </c>
      <c r="P170" t="s">
        <v>448</v>
      </c>
    </row>
    <row r="171" spans="1:16" x14ac:dyDescent="0.25">
      <c r="A171" t="s">
        <v>140</v>
      </c>
      <c r="B171" t="s">
        <v>130</v>
      </c>
      <c r="C171">
        <v>0</v>
      </c>
      <c r="D171">
        <v>2.9255223274230961</v>
      </c>
      <c r="E171">
        <v>1</v>
      </c>
      <c r="F171">
        <v>1</v>
      </c>
      <c r="G171">
        <v>1</v>
      </c>
      <c r="H171">
        <v>1</v>
      </c>
      <c r="I171">
        <v>1</v>
      </c>
      <c r="J171">
        <v>1</v>
      </c>
      <c r="K171">
        <v>1</v>
      </c>
      <c r="L171">
        <v>1</v>
      </c>
      <c r="M171">
        <v>1</v>
      </c>
      <c r="N171">
        <v>1</v>
      </c>
      <c r="O171">
        <v>1</v>
      </c>
    </row>
    <row r="172" spans="1:16" x14ac:dyDescent="0.25">
      <c r="A172" t="s">
        <v>140</v>
      </c>
      <c r="B172" t="s">
        <v>131</v>
      </c>
      <c r="C172">
        <v>0</v>
      </c>
      <c r="D172">
        <v>12.22141861915588</v>
      </c>
      <c r="E172">
        <v>1</v>
      </c>
      <c r="F172">
        <v>1</v>
      </c>
      <c r="G172">
        <v>1</v>
      </c>
      <c r="H172">
        <v>1</v>
      </c>
      <c r="I172">
        <v>1</v>
      </c>
      <c r="J172">
        <v>0</v>
      </c>
      <c r="K172">
        <v>1</v>
      </c>
      <c r="L172">
        <v>1</v>
      </c>
      <c r="M172">
        <v>1</v>
      </c>
      <c r="N172">
        <v>1</v>
      </c>
      <c r="O172">
        <v>1</v>
      </c>
      <c r="P172" t="s">
        <v>449</v>
      </c>
    </row>
    <row r="173" spans="1:16" x14ac:dyDescent="0.25">
      <c r="A173" t="s">
        <v>140</v>
      </c>
      <c r="B173" t="s">
        <v>133</v>
      </c>
      <c r="C173">
        <v>0</v>
      </c>
      <c r="D173">
        <v>6.3661861419677734</v>
      </c>
      <c r="E173">
        <v>0</v>
      </c>
      <c r="F173" t="s">
        <v>22</v>
      </c>
      <c r="G173" t="s">
        <v>22</v>
      </c>
      <c r="H173" t="s">
        <v>22</v>
      </c>
      <c r="I173" t="s">
        <v>22</v>
      </c>
      <c r="J173" t="s">
        <v>22</v>
      </c>
      <c r="K173" t="s">
        <v>22</v>
      </c>
      <c r="L173" t="s">
        <v>22</v>
      </c>
      <c r="M173" t="s">
        <v>22</v>
      </c>
      <c r="N173" t="s">
        <v>22</v>
      </c>
      <c r="O173" t="s">
        <v>22</v>
      </c>
      <c r="P173" t="s">
        <v>450</v>
      </c>
    </row>
    <row r="174" spans="1:16" x14ac:dyDescent="0.25">
      <c r="A174" t="s">
        <v>140</v>
      </c>
      <c r="B174" t="s">
        <v>135</v>
      </c>
      <c r="C174">
        <v>0</v>
      </c>
      <c r="D174">
        <v>12.03085160255432</v>
      </c>
      <c r="E174">
        <v>1</v>
      </c>
      <c r="F174">
        <v>1</v>
      </c>
      <c r="G174">
        <v>1</v>
      </c>
      <c r="H174">
        <v>1</v>
      </c>
      <c r="I174">
        <v>1</v>
      </c>
      <c r="J174">
        <v>0</v>
      </c>
      <c r="K174">
        <v>1</v>
      </c>
      <c r="L174">
        <v>1</v>
      </c>
      <c r="M174">
        <v>1</v>
      </c>
      <c r="N174">
        <v>1</v>
      </c>
      <c r="O174">
        <v>1</v>
      </c>
      <c r="P174" t="s">
        <v>451</v>
      </c>
    </row>
    <row r="175" spans="1:16" x14ac:dyDescent="0.25">
      <c r="A175" t="s">
        <v>140</v>
      </c>
      <c r="B175" t="s">
        <v>137</v>
      </c>
      <c r="C175">
        <v>0</v>
      </c>
      <c r="D175">
        <v>4.9274301528930664</v>
      </c>
      <c r="E175">
        <v>1</v>
      </c>
      <c r="F175">
        <v>1</v>
      </c>
      <c r="G175">
        <v>1</v>
      </c>
      <c r="H175">
        <v>1</v>
      </c>
      <c r="I175">
        <v>1</v>
      </c>
      <c r="J175">
        <v>0</v>
      </c>
      <c r="K175">
        <v>1</v>
      </c>
      <c r="L175">
        <v>1</v>
      </c>
      <c r="M175">
        <v>1</v>
      </c>
      <c r="N175">
        <v>1</v>
      </c>
      <c r="O175">
        <v>1</v>
      </c>
      <c r="P175" t="s">
        <v>452</v>
      </c>
    </row>
    <row r="176" spans="1:16" x14ac:dyDescent="0.25">
      <c r="A176" t="s">
        <v>140</v>
      </c>
      <c r="B176" t="s">
        <v>138</v>
      </c>
      <c r="C176">
        <v>0</v>
      </c>
      <c r="D176">
        <v>9.9102494716644287</v>
      </c>
      <c r="E176">
        <v>1</v>
      </c>
      <c r="F176">
        <v>1</v>
      </c>
      <c r="G176">
        <v>1</v>
      </c>
      <c r="H176">
        <v>1</v>
      </c>
      <c r="I176">
        <v>1</v>
      </c>
      <c r="J176">
        <v>1</v>
      </c>
      <c r="K176">
        <v>1</v>
      </c>
      <c r="L176">
        <v>1</v>
      </c>
      <c r="M176">
        <v>1</v>
      </c>
      <c r="N176">
        <v>1</v>
      </c>
      <c r="O176">
        <v>1</v>
      </c>
    </row>
    <row r="177" spans="1:16" x14ac:dyDescent="0.25">
      <c r="A177" t="s">
        <v>140</v>
      </c>
      <c r="B177" t="s">
        <v>174</v>
      </c>
      <c r="C177">
        <v>0</v>
      </c>
      <c r="D177">
        <v>4.8391609191894531</v>
      </c>
      <c r="E177">
        <v>1</v>
      </c>
      <c r="F177">
        <v>1</v>
      </c>
      <c r="G177">
        <v>1</v>
      </c>
      <c r="H177">
        <v>1</v>
      </c>
      <c r="I177">
        <v>1</v>
      </c>
      <c r="J177">
        <v>0</v>
      </c>
      <c r="K177">
        <v>1</v>
      </c>
      <c r="L177">
        <v>1</v>
      </c>
      <c r="M177">
        <v>1</v>
      </c>
      <c r="N177">
        <v>1</v>
      </c>
      <c r="O177">
        <v>1</v>
      </c>
      <c r="P177" t="s">
        <v>453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77"/>
  <sheetViews>
    <sheetView topLeftCell="A166" workbookViewId="0"/>
  </sheetViews>
  <sheetFormatPr defaultRowHeight="13.8" x14ac:dyDescent="0.25"/>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t="s">
        <v>16</v>
      </c>
      <c r="B2" t="s">
        <v>17</v>
      </c>
      <c r="C2">
        <v>0</v>
      </c>
      <c r="D2">
        <v>11.617415428161619</v>
      </c>
      <c r="E2">
        <v>1</v>
      </c>
      <c r="F2">
        <v>1</v>
      </c>
      <c r="G2">
        <v>1</v>
      </c>
      <c r="H2">
        <v>1</v>
      </c>
      <c r="I2">
        <v>1</v>
      </c>
      <c r="J2">
        <v>0</v>
      </c>
      <c r="K2">
        <v>1</v>
      </c>
      <c r="L2">
        <v>1</v>
      </c>
      <c r="M2">
        <v>1</v>
      </c>
      <c r="N2">
        <v>1</v>
      </c>
      <c r="O2">
        <v>1</v>
      </c>
      <c r="P2" t="s">
        <v>454</v>
      </c>
    </row>
    <row r="3" spans="1:16" x14ac:dyDescent="0.25">
      <c r="A3" t="s">
        <v>16</v>
      </c>
      <c r="B3" t="s">
        <v>19</v>
      </c>
      <c r="C3">
        <v>0</v>
      </c>
      <c r="D3">
        <v>9.4811239242553711</v>
      </c>
      <c r="E3">
        <v>1</v>
      </c>
      <c r="F3">
        <v>1</v>
      </c>
      <c r="G3">
        <v>1</v>
      </c>
      <c r="H3">
        <v>1</v>
      </c>
      <c r="I3">
        <v>1</v>
      </c>
      <c r="J3">
        <v>1</v>
      </c>
      <c r="K3">
        <v>1</v>
      </c>
      <c r="L3">
        <v>1</v>
      </c>
      <c r="M3">
        <v>1</v>
      </c>
      <c r="N3">
        <v>1</v>
      </c>
      <c r="O3">
        <v>1</v>
      </c>
    </row>
    <row r="4" spans="1:16" x14ac:dyDescent="0.25">
      <c r="A4" t="s">
        <v>16</v>
      </c>
      <c r="B4" t="s">
        <v>20</v>
      </c>
      <c r="C4">
        <v>0</v>
      </c>
      <c r="D4">
        <v>10.81871461868286</v>
      </c>
      <c r="E4">
        <v>1</v>
      </c>
      <c r="F4">
        <v>1</v>
      </c>
      <c r="G4">
        <v>1</v>
      </c>
      <c r="H4">
        <v>1</v>
      </c>
      <c r="I4">
        <v>1</v>
      </c>
      <c r="J4">
        <v>1</v>
      </c>
      <c r="K4">
        <v>1</v>
      </c>
      <c r="L4">
        <v>1</v>
      </c>
      <c r="M4">
        <v>1</v>
      </c>
      <c r="N4">
        <v>1</v>
      </c>
      <c r="O4">
        <v>1</v>
      </c>
    </row>
    <row r="5" spans="1:16" x14ac:dyDescent="0.25">
      <c r="A5" t="s">
        <v>16</v>
      </c>
      <c r="B5" t="s">
        <v>21</v>
      </c>
      <c r="C5">
        <v>0</v>
      </c>
      <c r="D5">
        <v>7.6704518795013428</v>
      </c>
      <c r="E5">
        <v>1</v>
      </c>
      <c r="F5">
        <v>0</v>
      </c>
      <c r="G5">
        <v>1</v>
      </c>
      <c r="H5" t="s">
        <v>22</v>
      </c>
      <c r="I5">
        <v>1</v>
      </c>
      <c r="J5" t="s">
        <v>22</v>
      </c>
      <c r="K5">
        <v>1</v>
      </c>
      <c r="L5">
        <v>1</v>
      </c>
      <c r="M5">
        <v>1</v>
      </c>
      <c r="N5">
        <v>1</v>
      </c>
      <c r="O5">
        <v>1</v>
      </c>
      <c r="P5" t="s">
        <v>455</v>
      </c>
    </row>
    <row r="6" spans="1:16" x14ac:dyDescent="0.25">
      <c r="A6" t="s">
        <v>16</v>
      </c>
      <c r="B6" t="s">
        <v>24</v>
      </c>
      <c r="C6">
        <v>0</v>
      </c>
      <c r="D6">
        <v>2.8635883331298828</v>
      </c>
      <c r="E6">
        <v>1</v>
      </c>
      <c r="F6">
        <v>1</v>
      </c>
      <c r="G6">
        <v>1</v>
      </c>
      <c r="H6">
        <v>1</v>
      </c>
      <c r="I6">
        <v>1</v>
      </c>
      <c r="J6">
        <v>1</v>
      </c>
      <c r="K6">
        <v>1</v>
      </c>
      <c r="L6">
        <v>1</v>
      </c>
      <c r="M6">
        <v>1</v>
      </c>
      <c r="N6">
        <v>1</v>
      </c>
      <c r="O6">
        <v>1</v>
      </c>
    </row>
    <row r="7" spans="1:16" x14ac:dyDescent="0.25">
      <c r="A7" t="s">
        <v>16</v>
      </c>
      <c r="B7" t="s">
        <v>25</v>
      </c>
      <c r="C7">
        <v>0</v>
      </c>
      <c r="D7">
        <v>3.2042381763458252</v>
      </c>
      <c r="E7">
        <v>1</v>
      </c>
      <c r="F7">
        <v>1</v>
      </c>
      <c r="G7">
        <v>1</v>
      </c>
      <c r="H7">
        <v>1</v>
      </c>
      <c r="I7">
        <v>1</v>
      </c>
      <c r="J7">
        <v>1</v>
      </c>
      <c r="K7">
        <v>1</v>
      </c>
      <c r="L7">
        <v>1</v>
      </c>
      <c r="M7">
        <v>1</v>
      </c>
      <c r="N7">
        <v>1</v>
      </c>
      <c r="O7">
        <v>1</v>
      </c>
    </row>
    <row r="8" spans="1:16" x14ac:dyDescent="0.25">
      <c r="A8" t="s">
        <v>16</v>
      </c>
      <c r="B8" t="s">
        <v>26</v>
      </c>
      <c r="C8">
        <v>0</v>
      </c>
      <c r="D8">
        <v>10.66145348548889</v>
      </c>
      <c r="E8">
        <v>1</v>
      </c>
      <c r="F8">
        <v>1</v>
      </c>
      <c r="G8">
        <v>1</v>
      </c>
      <c r="H8">
        <v>1</v>
      </c>
      <c r="I8">
        <v>1</v>
      </c>
      <c r="J8">
        <v>1</v>
      </c>
      <c r="K8">
        <v>1</v>
      </c>
      <c r="L8">
        <v>1</v>
      </c>
      <c r="M8">
        <v>1</v>
      </c>
      <c r="N8">
        <v>1</v>
      </c>
      <c r="O8">
        <v>1</v>
      </c>
    </row>
    <row r="9" spans="1:16" x14ac:dyDescent="0.25">
      <c r="A9" t="s">
        <v>16</v>
      </c>
      <c r="B9" t="s">
        <v>27</v>
      </c>
      <c r="C9">
        <v>0</v>
      </c>
      <c r="D9">
        <v>8.7032055854797363</v>
      </c>
      <c r="E9">
        <v>1</v>
      </c>
      <c r="F9">
        <v>1</v>
      </c>
      <c r="G9">
        <v>1</v>
      </c>
      <c r="H9">
        <v>1</v>
      </c>
      <c r="I9">
        <v>1</v>
      </c>
      <c r="J9">
        <v>1</v>
      </c>
      <c r="K9">
        <v>1</v>
      </c>
      <c r="L9">
        <v>1</v>
      </c>
      <c r="M9">
        <v>1</v>
      </c>
      <c r="N9">
        <v>1</v>
      </c>
      <c r="O9">
        <v>1</v>
      </c>
    </row>
    <row r="10" spans="1:16" x14ac:dyDescent="0.25">
      <c r="A10" t="s">
        <v>16</v>
      </c>
      <c r="B10" t="s">
        <v>28</v>
      </c>
      <c r="C10">
        <v>0</v>
      </c>
      <c r="D10">
        <v>2.9548335075378418</v>
      </c>
      <c r="E10">
        <v>1</v>
      </c>
      <c r="F10">
        <v>1</v>
      </c>
      <c r="G10">
        <v>1</v>
      </c>
      <c r="H10">
        <v>1</v>
      </c>
      <c r="I10">
        <v>1</v>
      </c>
      <c r="J10">
        <v>1</v>
      </c>
      <c r="K10">
        <v>1</v>
      </c>
      <c r="L10">
        <v>1</v>
      </c>
      <c r="M10">
        <v>1</v>
      </c>
      <c r="N10">
        <v>1</v>
      </c>
      <c r="O10">
        <v>1</v>
      </c>
    </row>
    <row r="11" spans="1:16" x14ac:dyDescent="0.25">
      <c r="A11" t="s">
        <v>16</v>
      </c>
      <c r="B11" t="s">
        <v>29</v>
      </c>
      <c r="C11">
        <v>0</v>
      </c>
      <c r="D11">
        <v>9.9386742115020752</v>
      </c>
      <c r="E11">
        <v>1</v>
      </c>
      <c r="F11">
        <v>1</v>
      </c>
      <c r="G11">
        <v>1</v>
      </c>
      <c r="H11">
        <v>1</v>
      </c>
      <c r="I11">
        <v>1</v>
      </c>
      <c r="J11">
        <v>1</v>
      </c>
      <c r="K11">
        <v>1</v>
      </c>
      <c r="L11">
        <v>1</v>
      </c>
      <c r="M11">
        <v>1</v>
      </c>
      <c r="N11">
        <v>1</v>
      </c>
      <c r="O11">
        <v>1</v>
      </c>
    </row>
    <row r="12" spans="1:16" x14ac:dyDescent="0.25">
      <c r="A12" t="s">
        <v>16</v>
      </c>
      <c r="B12" t="s">
        <v>30</v>
      </c>
      <c r="C12">
        <v>0</v>
      </c>
      <c r="D12">
        <v>11.66734147071838</v>
      </c>
      <c r="E12">
        <v>0</v>
      </c>
      <c r="F12" t="s">
        <v>22</v>
      </c>
      <c r="G12" t="s">
        <v>22</v>
      </c>
      <c r="H12" t="s">
        <v>22</v>
      </c>
      <c r="I12" t="s">
        <v>22</v>
      </c>
      <c r="J12" t="s">
        <v>22</v>
      </c>
      <c r="K12" t="s">
        <v>22</v>
      </c>
      <c r="L12" t="s">
        <v>22</v>
      </c>
      <c r="M12" t="s">
        <v>22</v>
      </c>
      <c r="N12" t="s">
        <v>22</v>
      </c>
      <c r="O12" t="s">
        <v>22</v>
      </c>
      <c r="P12" t="s">
        <v>456</v>
      </c>
    </row>
    <row r="13" spans="1:16" x14ac:dyDescent="0.25">
      <c r="A13" t="s">
        <v>16</v>
      </c>
      <c r="B13" t="s">
        <v>32</v>
      </c>
      <c r="C13">
        <v>0</v>
      </c>
      <c r="D13">
        <v>10.782790422439581</v>
      </c>
      <c r="E13">
        <v>1</v>
      </c>
      <c r="F13">
        <v>1</v>
      </c>
      <c r="G13">
        <v>1</v>
      </c>
      <c r="H13">
        <v>1</v>
      </c>
      <c r="I13">
        <v>1</v>
      </c>
      <c r="J13">
        <v>1</v>
      </c>
      <c r="K13">
        <v>1</v>
      </c>
      <c r="L13">
        <v>1</v>
      </c>
      <c r="M13">
        <v>1</v>
      </c>
      <c r="N13">
        <v>1</v>
      </c>
      <c r="O13">
        <v>1</v>
      </c>
    </row>
    <row r="14" spans="1:16" x14ac:dyDescent="0.25">
      <c r="A14" t="s">
        <v>16</v>
      </c>
      <c r="B14" t="s">
        <v>33</v>
      </c>
      <c r="C14">
        <v>0</v>
      </c>
      <c r="D14">
        <v>11.96278023719788</v>
      </c>
      <c r="E14">
        <v>1</v>
      </c>
      <c r="F14">
        <v>0</v>
      </c>
      <c r="G14">
        <v>1</v>
      </c>
      <c r="H14" t="s">
        <v>22</v>
      </c>
      <c r="I14">
        <v>1</v>
      </c>
      <c r="J14" t="s">
        <v>22</v>
      </c>
      <c r="K14">
        <v>1</v>
      </c>
      <c r="L14">
        <v>1</v>
      </c>
      <c r="M14">
        <v>1</v>
      </c>
      <c r="N14">
        <v>1</v>
      </c>
      <c r="O14">
        <v>1</v>
      </c>
      <c r="P14" t="s">
        <v>457</v>
      </c>
    </row>
    <row r="15" spans="1:16" x14ac:dyDescent="0.25">
      <c r="A15" t="s">
        <v>16</v>
      </c>
      <c r="B15" t="s">
        <v>35</v>
      </c>
      <c r="C15">
        <v>0</v>
      </c>
      <c r="D15">
        <v>9.808021068572998</v>
      </c>
      <c r="E15">
        <v>1</v>
      </c>
      <c r="F15">
        <v>1</v>
      </c>
      <c r="G15">
        <v>1</v>
      </c>
      <c r="H15">
        <v>1</v>
      </c>
      <c r="I15">
        <v>1</v>
      </c>
      <c r="J15">
        <v>1</v>
      </c>
      <c r="K15">
        <v>1</v>
      </c>
      <c r="L15">
        <v>1</v>
      </c>
      <c r="M15">
        <v>0</v>
      </c>
      <c r="N15">
        <v>1</v>
      </c>
      <c r="O15">
        <v>1</v>
      </c>
      <c r="P15" t="s">
        <v>458</v>
      </c>
    </row>
    <row r="16" spans="1:16" x14ac:dyDescent="0.25">
      <c r="A16" t="s">
        <v>16</v>
      </c>
      <c r="B16" t="s">
        <v>36</v>
      </c>
      <c r="C16">
        <v>0</v>
      </c>
      <c r="D16">
        <v>9.8104343414306641</v>
      </c>
      <c r="E16">
        <v>1</v>
      </c>
      <c r="F16">
        <v>1</v>
      </c>
      <c r="G16">
        <v>1</v>
      </c>
      <c r="H16">
        <v>1</v>
      </c>
      <c r="I16">
        <v>1</v>
      </c>
      <c r="J16">
        <v>1</v>
      </c>
      <c r="K16">
        <v>1</v>
      </c>
      <c r="L16">
        <v>1</v>
      </c>
      <c r="M16">
        <v>1</v>
      </c>
      <c r="N16">
        <v>1</v>
      </c>
      <c r="O16">
        <v>1</v>
      </c>
    </row>
    <row r="17" spans="1:16" x14ac:dyDescent="0.25">
      <c r="A17" t="s">
        <v>16</v>
      </c>
      <c r="B17" t="s">
        <v>38</v>
      </c>
      <c r="C17">
        <v>0</v>
      </c>
      <c r="D17">
        <v>10.24720406532288</v>
      </c>
      <c r="E17">
        <v>1</v>
      </c>
      <c r="F17">
        <v>1</v>
      </c>
      <c r="G17">
        <v>1</v>
      </c>
      <c r="H17">
        <v>1</v>
      </c>
      <c r="I17">
        <v>1</v>
      </c>
      <c r="J17">
        <v>1</v>
      </c>
      <c r="K17">
        <v>1</v>
      </c>
      <c r="L17">
        <v>1</v>
      </c>
      <c r="M17">
        <v>1</v>
      </c>
      <c r="N17">
        <v>1</v>
      </c>
      <c r="O17">
        <v>1</v>
      </c>
    </row>
    <row r="18" spans="1:16" x14ac:dyDescent="0.25">
      <c r="A18" t="s">
        <v>16</v>
      </c>
      <c r="B18" t="s">
        <v>39</v>
      </c>
      <c r="C18">
        <v>0</v>
      </c>
      <c r="D18">
        <v>8.6891674995422363</v>
      </c>
      <c r="E18">
        <v>1</v>
      </c>
      <c r="F18">
        <v>1</v>
      </c>
      <c r="G18">
        <v>1</v>
      </c>
      <c r="H18">
        <v>1</v>
      </c>
      <c r="I18">
        <v>1</v>
      </c>
      <c r="J18">
        <v>1</v>
      </c>
      <c r="K18">
        <v>1</v>
      </c>
      <c r="L18">
        <v>1</v>
      </c>
      <c r="M18">
        <v>1</v>
      </c>
      <c r="N18">
        <v>1</v>
      </c>
      <c r="O18">
        <v>1</v>
      </c>
    </row>
    <row r="19" spans="1:16" x14ac:dyDescent="0.25">
      <c r="A19" t="s">
        <v>16</v>
      </c>
      <c r="B19" t="s">
        <v>40</v>
      </c>
      <c r="C19">
        <v>0</v>
      </c>
      <c r="D19">
        <v>3.0835211277008061</v>
      </c>
      <c r="E19">
        <v>1</v>
      </c>
      <c r="F19">
        <v>1</v>
      </c>
      <c r="G19">
        <v>1</v>
      </c>
      <c r="H19">
        <v>1</v>
      </c>
      <c r="I19">
        <v>1</v>
      </c>
      <c r="J19">
        <v>1</v>
      </c>
      <c r="K19">
        <v>1</v>
      </c>
      <c r="L19">
        <v>1</v>
      </c>
      <c r="M19">
        <v>1</v>
      </c>
      <c r="N19">
        <v>1</v>
      </c>
      <c r="O19">
        <v>1</v>
      </c>
    </row>
    <row r="20" spans="1:16" x14ac:dyDescent="0.25">
      <c r="A20" t="s">
        <v>16</v>
      </c>
      <c r="B20" t="s">
        <v>41</v>
      </c>
      <c r="C20">
        <v>0</v>
      </c>
      <c r="D20">
        <v>6.4564733505249023</v>
      </c>
      <c r="E20">
        <v>0</v>
      </c>
      <c r="F20" t="s">
        <v>22</v>
      </c>
      <c r="G20" t="s">
        <v>22</v>
      </c>
      <c r="H20" t="s">
        <v>22</v>
      </c>
      <c r="I20" t="s">
        <v>22</v>
      </c>
      <c r="J20" t="s">
        <v>22</v>
      </c>
      <c r="K20" t="s">
        <v>22</v>
      </c>
      <c r="L20" t="s">
        <v>22</v>
      </c>
      <c r="M20" t="s">
        <v>22</v>
      </c>
      <c r="N20" t="s">
        <v>22</v>
      </c>
      <c r="O20" t="s">
        <v>22</v>
      </c>
      <c r="P20" t="s">
        <v>459</v>
      </c>
    </row>
    <row r="21" spans="1:16" x14ac:dyDescent="0.25">
      <c r="A21" t="s">
        <v>16</v>
      </c>
      <c r="B21" t="s">
        <v>43</v>
      </c>
      <c r="C21">
        <v>0</v>
      </c>
      <c r="D21">
        <v>9.8090200424194336</v>
      </c>
      <c r="E21">
        <v>1</v>
      </c>
      <c r="F21">
        <v>1</v>
      </c>
      <c r="G21">
        <v>1</v>
      </c>
      <c r="H21">
        <v>1</v>
      </c>
      <c r="I21">
        <v>1</v>
      </c>
      <c r="J21">
        <v>1</v>
      </c>
      <c r="K21">
        <v>1</v>
      </c>
      <c r="L21">
        <v>1</v>
      </c>
      <c r="M21">
        <v>1</v>
      </c>
      <c r="N21">
        <v>1</v>
      </c>
      <c r="O21">
        <v>1</v>
      </c>
    </row>
    <row r="22" spans="1:16" x14ac:dyDescent="0.25">
      <c r="A22" t="s">
        <v>16</v>
      </c>
      <c r="B22" t="s">
        <v>44</v>
      </c>
      <c r="C22">
        <v>0</v>
      </c>
      <c r="D22">
        <v>9.5236601829528809</v>
      </c>
      <c r="E22">
        <v>1</v>
      </c>
      <c r="F22">
        <v>1</v>
      </c>
      <c r="G22">
        <v>1</v>
      </c>
      <c r="H22">
        <v>1</v>
      </c>
      <c r="I22">
        <v>1</v>
      </c>
      <c r="J22">
        <v>1</v>
      </c>
      <c r="K22">
        <v>1</v>
      </c>
      <c r="L22">
        <v>1</v>
      </c>
      <c r="M22">
        <v>1</v>
      </c>
      <c r="N22">
        <v>1</v>
      </c>
      <c r="O22">
        <v>1</v>
      </c>
    </row>
    <row r="23" spans="1:16" x14ac:dyDescent="0.25">
      <c r="A23" t="s">
        <v>16</v>
      </c>
      <c r="B23" t="s">
        <v>45</v>
      </c>
      <c r="C23">
        <v>0</v>
      </c>
      <c r="D23">
        <v>9.4123070240020752</v>
      </c>
      <c r="E23">
        <v>1</v>
      </c>
      <c r="F23">
        <v>1</v>
      </c>
      <c r="G23">
        <v>1</v>
      </c>
      <c r="H23">
        <v>1</v>
      </c>
      <c r="I23">
        <v>1</v>
      </c>
      <c r="J23">
        <v>1</v>
      </c>
      <c r="K23">
        <v>1</v>
      </c>
      <c r="L23">
        <v>1</v>
      </c>
      <c r="M23">
        <v>1</v>
      </c>
      <c r="N23">
        <v>1</v>
      </c>
      <c r="O23">
        <v>1</v>
      </c>
    </row>
    <row r="24" spans="1:16" x14ac:dyDescent="0.25">
      <c r="A24" t="s">
        <v>16</v>
      </c>
      <c r="B24" t="s">
        <v>46</v>
      </c>
      <c r="C24">
        <v>0</v>
      </c>
      <c r="D24">
        <v>9.0084974765777588</v>
      </c>
      <c r="E24">
        <v>1</v>
      </c>
      <c r="F24">
        <v>1</v>
      </c>
      <c r="G24">
        <v>1</v>
      </c>
      <c r="H24">
        <v>1</v>
      </c>
      <c r="I24">
        <v>1</v>
      </c>
      <c r="J24">
        <v>1</v>
      </c>
      <c r="K24">
        <v>1</v>
      </c>
      <c r="L24">
        <v>1</v>
      </c>
      <c r="M24">
        <v>1</v>
      </c>
      <c r="N24">
        <v>1</v>
      </c>
      <c r="O24">
        <v>1</v>
      </c>
    </row>
    <row r="25" spans="1:16" x14ac:dyDescent="0.25">
      <c r="A25" t="s">
        <v>16</v>
      </c>
      <c r="B25" t="s">
        <v>47</v>
      </c>
      <c r="C25">
        <v>0</v>
      </c>
      <c r="D25">
        <v>3.0714173316955571</v>
      </c>
      <c r="E25">
        <v>1</v>
      </c>
      <c r="F25">
        <v>1</v>
      </c>
      <c r="G25">
        <v>1</v>
      </c>
      <c r="H25">
        <v>1</v>
      </c>
      <c r="I25">
        <v>1</v>
      </c>
      <c r="J25">
        <v>1</v>
      </c>
      <c r="K25">
        <v>1</v>
      </c>
      <c r="L25">
        <v>1</v>
      </c>
      <c r="M25">
        <v>1</v>
      </c>
      <c r="N25">
        <v>1</v>
      </c>
      <c r="O25">
        <v>1</v>
      </c>
    </row>
    <row r="26" spans="1:16" x14ac:dyDescent="0.25">
      <c r="A26" t="s">
        <v>16</v>
      </c>
      <c r="B26" t="s">
        <v>48</v>
      </c>
      <c r="C26">
        <v>0</v>
      </c>
      <c r="D26">
        <v>8.3874447345733643</v>
      </c>
      <c r="E26">
        <v>1</v>
      </c>
      <c r="F26">
        <v>1</v>
      </c>
      <c r="G26">
        <v>1</v>
      </c>
      <c r="H26">
        <v>1</v>
      </c>
      <c r="I26">
        <v>1</v>
      </c>
      <c r="J26">
        <v>1</v>
      </c>
      <c r="K26">
        <v>1</v>
      </c>
      <c r="L26">
        <v>1</v>
      </c>
      <c r="M26">
        <v>1</v>
      </c>
      <c r="N26">
        <v>1</v>
      </c>
      <c r="O26">
        <v>1</v>
      </c>
    </row>
    <row r="27" spans="1:16" x14ac:dyDescent="0.25">
      <c r="A27" t="s">
        <v>16</v>
      </c>
      <c r="B27" t="s">
        <v>49</v>
      </c>
      <c r="C27">
        <v>0</v>
      </c>
      <c r="D27">
        <v>7.6903316974639893</v>
      </c>
      <c r="E27">
        <v>1</v>
      </c>
      <c r="F27">
        <v>0</v>
      </c>
      <c r="G27">
        <v>1</v>
      </c>
      <c r="H27" t="s">
        <v>22</v>
      </c>
      <c r="I27">
        <v>1</v>
      </c>
      <c r="J27" t="s">
        <v>22</v>
      </c>
      <c r="K27">
        <v>1</v>
      </c>
      <c r="L27">
        <v>1</v>
      </c>
      <c r="M27">
        <v>1</v>
      </c>
      <c r="N27">
        <v>1</v>
      </c>
      <c r="O27">
        <v>1</v>
      </c>
      <c r="P27" t="s">
        <v>460</v>
      </c>
    </row>
    <row r="28" spans="1:16" x14ac:dyDescent="0.25">
      <c r="A28" t="s">
        <v>16</v>
      </c>
      <c r="B28" t="s">
        <v>51</v>
      </c>
      <c r="C28">
        <v>0</v>
      </c>
      <c r="D28">
        <v>14.286864995956419</v>
      </c>
      <c r="E28">
        <v>1</v>
      </c>
      <c r="F28">
        <v>0</v>
      </c>
      <c r="G28">
        <v>1</v>
      </c>
      <c r="H28" t="s">
        <v>22</v>
      </c>
      <c r="I28">
        <v>1</v>
      </c>
      <c r="J28" t="s">
        <v>22</v>
      </c>
      <c r="K28">
        <v>1</v>
      </c>
      <c r="L28">
        <v>1</v>
      </c>
      <c r="M28">
        <v>1</v>
      </c>
      <c r="N28">
        <v>1</v>
      </c>
      <c r="O28">
        <v>1</v>
      </c>
      <c r="P28" t="s">
        <v>461</v>
      </c>
    </row>
    <row r="29" spans="1:16" x14ac:dyDescent="0.25">
      <c r="A29" t="s">
        <v>16</v>
      </c>
      <c r="B29" t="s">
        <v>53</v>
      </c>
      <c r="C29">
        <v>0</v>
      </c>
      <c r="D29">
        <v>9.6711001396179199</v>
      </c>
      <c r="E29">
        <v>1</v>
      </c>
      <c r="F29">
        <v>1</v>
      </c>
      <c r="G29">
        <v>1</v>
      </c>
      <c r="H29">
        <v>1</v>
      </c>
      <c r="I29">
        <v>1</v>
      </c>
      <c r="J29">
        <v>1</v>
      </c>
      <c r="K29">
        <v>1</v>
      </c>
      <c r="L29">
        <v>1</v>
      </c>
      <c r="M29">
        <v>1</v>
      </c>
      <c r="N29">
        <v>1</v>
      </c>
      <c r="O29">
        <v>1</v>
      </c>
    </row>
    <row r="30" spans="1:16" x14ac:dyDescent="0.25">
      <c r="A30" t="s">
        <v>16</v>
      </c>
      <c r="B30" t="s">
        <v>54</v>
      </c>
      <c r="C30">
        <v>0</v>
      </c>
      <c r="D30">
        <v>7.8149142265319824</v>
      </c>
      <c r="E30">
        <v>1</v>
      </c>
      <c r="F30">
        <v>1</v>
      </c>
      <c r="G30">
        <v>0</v>
      </c>
      <c r="H30" t="s">
        <v>22</v>
      </c>
      <c r="I30">
        <v>1</v>
      </c>
      <c r="J30">
        <v>1</v>
      </c>
      <c r="K30">
        <v>1</v>
      </c>
      <c r="L30">
        <v>1</v>
      </c>
      <c r="M30">
        <v>1</v>
      </c>
      <c r="N30">
        <v>1</v>
      </c>
      <c r="O30">
        <v>1</v>
      </c>
      <c r="P30" t="s">
        <v>462</v>
      </c>
    </row>
    <row r="31" spans="1:16" x14ac:dyDescent="0.25">
      <c r="A31" t="s">
        <v>16</v>
      </c>
      <c r="B31" t="s">
        <v>56</v>
      </c>
      <c r="C31">
        <v>0</v>
      </c>
      <c r="D31">
        <v>11.536116123199459</v>
      </c>
      <c r="E31">
        <v>1</v>
      </c>
      <c r="F31">
        <v>0</v>
      </c>
      <c r="G31">
        <v>1</v>
      </c>
      <c r="H31" t="s">
        <v>22</v>
      </c>
      <c r="I31">
        <v>1</v>
      </c>
      <c r="J31" t="s">
        <v>22</v>
      </c>
      <c r="K31">
        <v>1</v>
      </c>
      <c r="L31">
        <v>1</v>
      </c>
      <c r="M31">
        <v>1</v>
      </c>
      <c r="N31">
        <v>1</v>
      </c>
      <c r="O31">
        <v>1</v>
      </c>
      <c r="P31" t="s">
        <v>463</v>
      </c>
    </row>
    <row r="32" spans="1:16" x14ac:dyDescent="0.25">
      <c r="A32" t="s">
        <v>16</v>
      </c>
      <c r="B32" t="s">
        <v>58</v>
      </c>
      <c r="C32">
        <v>0</v>
      </c>
      <c r="D32">
        <v>11.13632202148438</v>
      </c>
      <c r="E32">
        <v>1</v>
      </c>
      <c r="F32">
        <v>0</v>
      </c>
      <c r="G32">
        <v>1</v>
      </c>
      <c r="H32" t="s">
        <v>22</v>
      </c>
      <c r="I32">
        <v>1</v>
      </c>
      <c r="J32" t="s">
        <v>22</v>
      </c>
      <c r="K32">
        <v>1</v>
      </c>
      <c r="L32">
        <v>1</v>
      </c>
      <c r="M32">
        <v>1</v>
      </c>
      <c r="N32">
        <v>1</v>
      </c>
      <c r="O32">
        <v>1</v>
      </c>
      <c r="P32" t="s">
        <v>464</v>
      </c>
    </row>
    <row r="33" spans="1:16" x14ac:dyDescent="0.25">
      <c r="A33" t="s">
        <v>16</v>
      </c>
      <c r="B33" t="s">
        <v>60</v>
      </c>
      <c r="C33">
        <v>0</v>
      </c>
      <c r="D33">
        <v>11.40390229225159</v>
      </c>
      <c r="E33">
        <v>1</v>
      </c>
      <c r="F33">
        <v>0</v>
      </c>
      <c r="G33">
        <v>1</v>
      </c>
      <c r="H33" t="s">
        <v>22</v>
      </c>
      <c r="I33">
        <v>1</v>
      </c>
      <c r="J33" t="s">
        <v>22</v>
      </c>
      <c r="K33">
        <v>1</v>
      </c>
      <c r="L33">
        <v>1</v>
      </c>
      <c r="M33">
        <v>1</v>
      </c>
      <c r="N33">
        <v>1</v>
      </c>
      <c r="O33">
        <v>1</v>
      </c>
      <c r="P33" t="s">
        <v>465</v>
      </c>
    </row>
    <row r="34" spans="1:16" x14ac:dyDescent="0.25">
      <c r="A34" t="s">
        <v>16</v>
      </c>
      <c r="B34" t="s">
        <v>62</v>
      </c>
      <c r="C34">
        <v>0</v>
      </c>
      <c r="D34">
        <v>14.81010460853577</v>
      </c>
      <c r="E34">
        <v>0</v>
      </c>
      <c r="F34" t="s">
        <v>22</v>
      </c>
      <c r="G34" t="s">
        <v>22</v>
      </c>
      <c r="H34" t="s">
        <v>22</v>
      </c>
      <c r="I34" t="s">
        <v>22</v>
      </c>
      <c r="J34" t="s">
        <v>22</v>
      </c>
      <c r="K34" t="s">
        <v>22</v>
      </c>
      <c r="L34" t="s">
        <v>22</v>
      </c>
      <c r="M34" t="s">
        <v>22</v>
      </c>
      <c r="N34" t="s">
        <v>22</v>
      </c>
      <c r="O34" t="s">
        <v>22</v>
      </c>
      <c r="P34" t="s">
        <v>466</v>
      </c>
    </row>
    <row r="35" spans="1:16" x14ac:dyDescent="0.25">
      <c r="A35" t="s">
        <v>16</v>
      </c>
      <c r="B35" t="s">
        <v>64</v>
      </c>
      <c r="C35">
        <v>0</v>
      </c>
      <c r="D35">
        <v>10.96451115608215</v>
      </c>
      <c r="E35">
        <v>1</v>
      </c>
      <c r="F35">
        <v>1</v>
      </c>
      <c r="G35">
        <v>1</v>
      </c>
      <c r="H35">
        <v>1</v>
      </c>
      <c r="I35">
        <v>1</v>
      </c>
      <c r="J35">
        <v>1</v>
      </c>
      <c r="K35">
        <v>1</v>
      </c>
      <c r="L35">
        <v>1</v>
      </c>
      <c r="M35">
        <v>1</v>
      </c>
      <c r="N35">
        <v>1</v>
      </c>
      <c r="O35">
        <v>1</v>
      </c>
    </row>
    <row r="36" spans="1:16" x14ac:dyDescent="0.25">
      <c r="A36" t="s">
        <v>16</v>
      </c>
      <c r="B36" t="s">
        <v>66</v>
      </c>
      <c r="C36">
        <v>0</v>
      </c>
      <c r="D36">
        <v>2.842309713363647</v>
      </c>
      <c r="E36">
        <v>1</v>
      </c>
      <c r="F36">
        <v>1</v>
      </c>
      <c r="G36">
        <v>1</v>
      </c>
      <c r="H36">
        <v>1</v>
      </c>
      <c r="I36">
        <v>1</v>
      </c>
      <c r="J36">
        <v>1</v>
      </c>
      <c r="K36">
        <v>1</v>
      </c>
      <c r="L36">
        <v>1</v>
      </c>
      <c r="M36">
        <v>1</v>
      </c>
      <c r="N36">
        <v>1</v>
      </c>
      <c r="O36">
        <v>1</v>
      </c>
    </row>
    <row r="37" spans="1:16" x14ac:dyDescent="0.25">
      <c r="A37" t="s">
        <v>16</v>
      </c>
      <c r="B37" t="s">
        <v>67</v>
      </c>
      <c r="C37">
        <v>0</v>
      </c>
      <c r="D37">
        <v>6.9412949085235596</v>
      </c>
      <c r="E37">
        <v>1</v>
      </c>
      <c r="F37">
        <v>1</v>
      </c>
      <c r="G37">
        <v>1</v>
      </c>
      <c r="H37">
        <v>1</v>
      </c>
      <c r="I37">
        <v>1</v>
      </c>
      <c r="J37">
        <v>1</v>
      </c>
      <c r="K37">
        <v>0</v>
      </c>
      <c r="L37">
        <v>1</v>
      </c>
      <c r="M37">
        <v>1</v>
      </c>
      <c r="N37">
        <v>1</v>
      </c>
      <c r="O37">
        <v>1</v>
      </c>
      <c r="P37" t="s">
        <v>467</v>
      </c>
    </row>
    <row r="38" spans="1:16" x14ac:dyDescent="0.25">
      <c r="A38" t="s">
        <v>16</v>
      </c>
      <c r="B38" t="s">
        <v>69</v>
      </c>
      <c r="C38">
        <v>0</v>
      </c>
      <c r="D38">
        <v>10.952121257781981</v>
      </c>
      <c r="E38">
        <v>1</v>
      </c>
      <c r="F38">
        <v>1</v>
      </c>
      <c r="G38">
        <v>1</v>
      </c>
      <c r="H38">
        <v>1</v>
      </c>
      <c r="I38">
        <v>1</v>
      </c>
      <c r="J38">
        <v>1</v>
      </c>
      <c r="K38">
        <v>1</v>
      </c>
      <c r="L38">
        <v>1</v>
      </c>
      <c r="M38">
        <v>1</v>
      </c>
      <c r="N38">
        <v>1</v>
      </c>
      <c r="O38">
        <v>1</v>
      </c>
    </row>
    <row r="39" spans="1:16" x14ac:dyDescent="0.25">
      <c r="A39" t="s">
        <v>16</v>
      </c>
      <c r="B39" t="s">
        <v>70</v>
      </c>
      <c r="C39">
        <v>0</v>
      </c>
      <c r="D39">
        <v>2.9735078811645508</v>
      </c>
      <c r="E39">
        <v>1</v>
      </c>
      <c r="F39">
        <v>1</v>
      </c>
      <c r="G39">
        <v>1</v>
      </c>
      <c r="H39">
        <v>1</v>
      </c>
      <c r="I39">
        <v>1</v>
      </c>
      <c r="J39">
        <v>1</v>
      </c>
      <c r="K39">
        <v>1</v>
      </c>
      <c r="L39">
        <v>1</v>
      </c>
      <c r="M39">
        <v>1</v>
      </c>
      <c r="N39">
        <v>1</v>
      </c>
      <c r="O39">
        <v>1</v>
      </c>
    </row>
    <row r="40" spans="1:16" x14ac:dyDescent="0.25">
      <c r="A40" t="s">
        <v>16</v>
      </c>
      <c r="B40" t="s">
        <v>71</v>
      </c>
      <c r="C40">
        <v>0</v>
      </c>
      <c r="D40">
        <v>11.256452322006229</v>
      </c>
      <c r="E40">
        <v>1</v>
      </c>
      <c r="F40">
        <v>1</v>
      </c>
      <c r="G40">
        <v>1</v>
      </c>
      <c r="H40">
        <v>1</v>
      </c>
      <c r="I40">
        <v>1</v>
      </c>
      <c r="J40">
        <v>1</v>
      </c>
      <c r="K40">
        <v>0</v>
      </c>
      <c r="L40">
        <v>1</v>
      </c>
      <c r="M40">
        <v>1</v>
      </c>
      <c r="N40">
        <v>1</v>
      </c>
      <c r="O40">
        <v>1</v>
      </c>
      <c r="P40" t="s">
        <v>468</v>
      </c>
    </row>
    <row r="41" spans="1:16" x14ac:dyDescent="0.25">
      <c r="A41" t="s">
        <v>16</v>
      </c>
      <c r="B41" t="s">
        <v>73</v>
      </c>
      <c r="C41">
        <v>0</v>
      </c>
      <c r="D41">
        <v>10.744536638259889</v>
      </c>
      <c r="E41">
        <v>0</v>
      </c>
      <c r="F41" t="s">
        <v>22</v>
      </c>
      <c r="G41" t="s">
        <v>22</v>
      </c>
      <c r="H41" t="s">
        <v>22</v>
      </c>
      <c r="I41" t="s">
        <v>22</v>
      </c>
      <c r="J41" t="s">
        <v>22</v>
      </c>
      <c r="K41" t="s">
        <v>22</v>
      </c>
      <c r="L41" t="s">
        <v>22</v>
      </c>
      <c r="M41" t="s">
        <v>22</v>
      </c>
      <c r="N41" t="s">
        <v>22</v>
      </c>
      <c r="O41" t="s">
        <v>22</v>
      </c>
      <c r="P41" t="s">
        <v>469</v>
      </c>
    </row>
    <row r="42" spans="1:16" x14ac:dyDescent="0.25">
      <c r="A42" t="s">
        <v>16</v>
      </c>
      <c r="B42" t="s">
        <v>75</v>
      </c>
      <c r="C42">
        <v>0</v>
      </c>
      <c r="D42">
        <v>8.491330623626709</v>
      </c>
      <c r="E42">
        <v>1</v>
      </c>
      <c r="F42">
        <v>1</v>
      </c>
      <c r="G42">
        <v>1</v>
      </c>
      <c r="H42">
        <v>1</v>
      </c>
      <c r="I42">
        <v>1</v>
      </c>
      <c r="J42">
        <v>1</v>
      </c>
      <c r="K42">
        <v>1</v>
      </c>
      <c r="L42">
        <v>1</v>
      </c>
      <c r="M42">
        <v>1</v>
      </c>
      <c r="N42">
        <v>1</v>
      </c>
      <c r="O42">
        <v>1</v>
      </c>
    </row>
    <row r="43" spans="1:16" x14ac:dyDescent="0.25">
      <c r="A43" t="s">
        <v>16</v>
      </c>
      <c r="B43" t="s">
        <v>77</v>
      </c>
      <c r="C43">
        <v>0</v>
      </c>
      <c r="D43">
        <v>9.7348709106445313</v>
      </c>
      <c r="E43">
        <v>1</v>
      </c>
      <c r="F43">
        <v>1</v>
      </c>
      <c r="G43">
        <v>1</v>
      </c>
      <c r="H43">
        <v>1</v>
      </c>
      <c r="I43">
        <v>1</v>
      </c>
      <c r="J43">
        <v>1</v>
      </c>
      <c r="K43">
        <v>1</v>
      </c>
      <c r="L43">
        <v>1</v>
      </c>
      <c r="M43">
        <v>1</v>
      </c>
      <c r="N43">
        <v>1</v>
      </c>
      <c r="O43">
        <v>1</v>
      </c>
    </row>
    <row r="44" spans="1:16" x14ac:dyDescent="0.25">
      <c r="A44" t="s">
        <v>16</v>
      </c>
      <c r="B44" t="s">
        <v>79</v>
      </c>
      <c r="C44">
        <v>0</v>
      </c>
      <c r="D44">
        <v>11.264399290084841</v>
      </c>
      <c r="E44">
        <v>1</v>
      </c>
      <c r="F44">
        <v>1</v>
      </c>
      <c r="G44">
        <v>0</v>
      </c>
      <c r="H44" t="s">
        <v>22</v>
      </c>
      <c r="I44">
        <v>1</v>
      </c>
      <c r="J44">
        <v>1</v>
      </c>
      <c r="K44">
        <v>1</v>
      </c>
      <c r="L44">
        <v>1</v>
      </c>
      <c r="M44">
        <v>1</v>
      </c>
      <c r="N44">
        <v>1</v>
      </c>
      <c r="O44">
        <v>1</v>
      </c>
      <c r="P44" t="s">
        <v>470</v>
      </c>
    </row>
    <row r="45" spans="1:16" x14ac:dyDescent="0.25">
      <c r="A45" t="s">
        <v>16</v>
      </c>
      <c r="B45" t="s">
        <v>81</v>
      </c>
      <c r="C45">
        <v>0</v>
      </c>
      <c r="D45">
        <v>11.964054822921749</v>
      </c>
      <c r="E45">
        <v>1</v>
      </c>
      <c r="F45">
        <v>1</v>
      </c>
      <c r="G45">
        <v>1</v>
      </c>
      <c r="H45">
        <v>1</v>
      </c>
      <c r="I45">
        <v>1</v>
      </c>
      <c r="J45">
        <v>0</v>
      </c>
      <c r="K45">
        <v>1</v>
      </c>
      <c r="L45">
        <v>1</v>
      </c>
      <c r="M45">
        <v>1</v>
      </c>
      <c r="N45">
        <v>1</v>
      </c>
      <c r="O45">
        <v>1</v>
      </c>
      <c r="P45" t="s">
        <v>471</v>
      </c>
    </row>
    <row r="46" spans="1:16" x14ac:dyDescent="0.25">
      <c r="A46" t="s">
        <v>16</v>
      </c>
      <c r="B46" t="s">
        <v>83</v>
      </c>
      <c r="C46">
        <v>0</v>
      </c>
      <c r="D46">
        <v>6.5599129199981689</v>
      </c>
      <c r="E46">
        <v>1</v>
      </c>
      <c r="F46">
        <v>1</v>
      </c>
      <c r="G46">
        <v>1</v>
      </c>
      <c r="H46">
        <v>1</v>
      </c>
      <c r="I46">
        <v>1</v>
      </c>
      <c r="J46">
        <v>0</v>
      </c>
      <c r="K46">
        <v>1</v>
      </c>
      <c r="L46">
        <v>1</v>
      </c>
      <c r="M46">
        <v>1</v>
      </c>
      <c r="N46">
        <v>1</v>
      </c>
      <c r="O46">
        <v>1</v>
      </c>
      <c r="P46" t="s">
        <v>472</v>
      </c>
    </row>
    <row r="47" spans="1:16" x14ac:dyDescent="0.25">
      <c r="A47" t="s">
        <v>16</v>
      </c>
      <c r="B47" t="s">
        <v>85</v>
      </c>
      <c r="C47">
        <v>0</v>
      </c>
      <c r="D47">
        <v>11.75453090667725</v>
      </c>
      <c r="E47">
        <v>1</v>
      </c>
      <c r="F47">
        <v>1</v>
      </c>
      <c r="G47">
        <v>1</v>
      </c>
      <c r="H47">
        <v>1</v>
      </c>
      <c r="I47">
        <v>1</v>
      </c>
      <c r="J47">
        <v>0</v>
      </c>
      <c r="K47">
        <v>1</v>
      </c>
      <c r="L47">
        <v>1</v>
      </c>
      <c r="M47">
        <v>1</v>
      </c>
      <c r="N47">
        <v>1</v>
      </c>
      <c r="O47">
        <v>1</v>
      </c>
      <c r="P47" t="s">
        <v>473</v>
      </c>
    </row>
    <row r="48" spans="1:16" x14ac:dyDescent="0.25">
      <c r="A48" t="s">
        <v>16</v>
      </c>
      <c r="B48" t="s">
        <v>87</v>
      </c>
      <c r="C48">
        <v>0</v>
      </c>
      <c r="D48">
        <v>12.029416561126711</v>
      </c>
      <c r="E48">
        <v>1</v>
      </c>
      <c r="F48">
        <v>1</v>
      </c>
      <c r="G48">
        <v>1</v>
      </c>
      <c r="H48">
        <v>1</v>
      </c>
      <c r="I48">
        <v>1</v>
      </c>
      <c r="J48">
        <v>0</v>
      </c>
      <c r="K48">
        <v>1</v>
      </c>
      <c r="L48">
        <v>1</v>
      </c>
      <c r="M48">
        <v>1</v>
      </c>
      <c r="N48">
        <v>1</v>
      </c>
      <c r="O48">
        <v>1</v>
      </c>
      <c r="P48" t="s">
        <v>474</v>
      </c>
    </row>
    <row r="49" spans="1:16" x14ac:dyDescent="0.25">
      <c r="A49" t="s">
        <v>16</v>
      </c>
      <c r="B49" t="s">
        <v>89</v>
      </c>
      <c r="C49">
        <v>0</v>
      </c>
      <c r="D49">
        <v>9.471306324005127</v>
      </c>
      <c r="E49">
        <v>1</v>
      </c>
      <c r="F49">
        <v>1</v>
      </c>
      <c r="G49">
        <v>1</v>
      </c>
      <c r="H49">
        <v>1</v>
      </c>
      <c r="I49">
        <v>1</v>
      </c>
      <c r="J49">
        <v>1</v>
      </c>
      <c r="K49">
        <v>1</v>
      </c>
      <c r="L49">
        <v>1</v>
      </c>
      <c r="M49">
        <v>1</v>
      </c>
      <c r="N49">
        <v>1</v>
      </c>
      <c r="O49">
        <v>1</v>
      </c>
    </row>
    <row r="50" spans="1:16" x14ac:dyDescent="0.25">
      <c r="A50" t="s">
        <v>16</v>
      </c>
      <c r="B50" t="s">
        <v>90</v>
      </c>
      <c r="C50">
        <v>0</v>
      </c>
      <c r="D50">
        <v>5.2286169528961182</v>
      </c>
      <c r="E50">
        <v>1</v>
      </c>
      <c r="F50">
        <v>1</v>
      </c>
      <c r="G50">
        <v>1</v>
      </c>
      <c r="H50">
        <v>1</v>
      </c>
      <c r="I50">
        <v>1</v>
      </c>
      <c r="J50">
        <v>0</v>
      </c>
      <c r="K50">
        <v>1</v>
      </c>
      <c r="L50">
        <v>1</v>
      </c>
      <c r="M50">
        <v>1</v>
      </c>
      <c r="N50">
        <v>1</v>
      </c>
      <c r="O50">
        <v>1</v>
      </c>
      <c r="P50" t="s">
        <v>475</v>
      </c>
    </row>
    <row r="51" spans="1:16" x14ac:dyDescent="0.25">
      <c r="A51" t="s">
        <v>92</v>
      </c>
      <c r="B51" t="s">
        <v>17</v>
      </c>
      <c r="C51">
        <v>0</v>
      </c>
      <c r="D51">
        <v>10.65648078918457</v>
      </c>
      <c r="E51">
        <v>1</v>
      </c>
      <c r="F51">
        <v>1</v>
      </c>
      <c r="G51">
        <v>1</v>
      </c>
      <c r="H51">
        <v>1</v>
      </c>
      <c r="I51">
        <v>1</v>
      </c>
      <c r="J51">
        <v>1</v>
      </c>
      <c r="K51">
        <v>1</v>
      </c>
      <c r="L51">
        <v>1</v>
      </c>
      <c r="M51">
        <v>1</v>
      </c>
      <c r="N51">
        <v>1</v>
      </c>
      <c r="O51">
        <v>1</v>
      </c>
    </row>
    <row r="52" spans="1:16" x14ac:dyDescent="0.25">
      <c r="A52" t="s">
        <v>92</v>
      </c>
      <c r="B52" t="s">
        <v>19</v>
      </c>
      <c r="C52">
        <v>0</v>
      </c>
      <c r="D52">
        <v>10.204379558563231</v>
      </c>
      <c r="E52">
        <v>1</v>
      </c>
      <c r="F52">
        <v>1</v>
      </c>
      <c r="G52">
        <v>0</v>
      </c>
      <c r="H52" t="s">
        <v>22</v>
      </c>
      <c r="I52">
        <v>1</v>
      </c>
      <c r="J52">
        <v>1</v>
      </c>
      <c r="K52">
        <v>1</v>
      </c>
      <c r="L52">
        <v>1</v>
      </c>
      <c r="M52">
        <v>1</v>
      </c>
      <c r="N52">
        <v>1</v>
      </c>
      <c r="O52">
        <v>1</v>
      </c>
      <c r="P52" t="s">
        <v>476</v>
      </c>
    </row>
    <row r="53" spans="1:16" x14ac:dyDescent="0.25">
      <c r="A53" t="s">
        <v>92</v>
      </c>
      <c r="B53" t="s">
        <v>20</v>
      </c>
      <c r="C53">
        <v>0</v>
      </c>
      <c r="D53">
        <v>2.8809468746185298</v>
      </c>
      <c r="E53">
        <v>1</v>
      </c>
      <c r="F53">
        <v>1</v>
      </c>
      <c r="G53">
        <v>1</v>
      </c>
      <c r="H53">
        <v>1</v>
      </c>
      <c r="I53">
        <v>1</v>
      </c>
      <c r="J53">
        <v>1</v>
      </c>
      <c r="K53">
        <v>1</v>
      </c>
      <c r="L53">
        <v>1</v>
      </c>
      <c r="M53">
        <v>1</v>
      </c>
      <c r="N53">
        <v>1</v>
      </c>
      <c r="O53">
        <v>1</v>
      </c>
    </row>
    <row r="54" spans="1:16" x14ac:dyDescent="0.25">
      <c r="A54" t="s">
        <v>92</v>
      </c>
      <c r="B54" t="s">
        <v>21</v>
      </c>
      <c r="C54">
        <v>0</v>
      </c>
      <c r="D54">
        <v>3.0364148616790771</v>
      </c>
      <c r="E54">
        <v>1</v>
      </c>
      <c r="F54">
        <v>1</v>
      </c>
      <c r="G54">
        <v>1</v>
      </c>
      <c r="H54">
        <v>1</v>
      </c>
      <c r="I54">
        <v>1</v>
      </c>
      <c r="J54">
        <v>1</v>
      </c>
      <c r="K54">
        <v>1</v>
      </c>
      <c r="L54">
        <v>1</v>
      </c>
      <c r="M54">
        <v>1</v>
      </c>
      <c r="N54">
        <v>1</v>
      </c>
      <c r="O54">
        <v>1</v>
      </c>
    </row>
    <row r="55" spans="1:16" x14ac:dyDescent="0.25">
      <c r="A55" t="s">
        <v>92</v>
      </c>
      <c r="B55" t="s">
        <v>24</v>
      </c>
      <c r="C55">
        <v>0</v>
      </c>
      <c r="D55">
        <v>7.2716004848480216</v>
      </c>
      <c r="E55">
        <v>1</v>
      </c>
      <c r="F55">
        <v>0</v>
      </c>
      <c r="G55">
        <v>1</v>
      </c>
      <c r="H55" t="s">
        <v>22</v>
      </c>
      <c r="I55">
        <v>1</v>
      </c>
      <c r="J55" t="s">
        <v>22</v>
      </c>
      <c r="K55">
        <v>1</v>
      </c>
      <c r="L55">
        <v>1</v>
      </c>
      <c r="M55">
        <v>1</v>
      </c>
      <c r="N55">
        <v>1</v>
      </c>
      <c r="O55">
        <v>1</v>
      </c>
      <c r="P55" t="s">
        <v>477</v>
      </c>
    </row>
    <row r="56" spans="1:16" x14ac:dyDescent="0.25">
      <c r="A56" t="s">
        <v>92</v>
      </c>
      <c r="B56" t="s">
        <v>25</v>
      </c>
      <c r="C56">
        <v>0</v>
      </c>
      <c r="D56">
        <v>7.3693456649780273</v>
      </c>
      <c r="E56">
        <v>1</v>
      </c>
      <c r="F56">
        <v>1</v>
      </c>
      <c r="G56">
        <v>0</v>
      </c>
      <c r="H56" t="s">
        <v>22</v>
      </c>
      <c r="I56">
        <v>1</v>
      </c>
      <c r="J56">
        <v>1</v>
      </c>
      <c r="K56">
        <v>1</v>
      </c>
      <c r="L56">
        <v>1</v>
      </c>
      <c r="M56">
        <v>1</v>
      </c>
      <c r="N56">
        <v>1</v>
      </c>
      <c r="O56">
        <v>1</v>
      </c>
      <c r="P56" t="s">
        <v>478</v>
      </c>
    </row>
    <row r="57" spans="1:16" x14ac:dyDescent="0.25">
      <c r="A57" t="s">
        <v>92</v>
      </c>
      <c r="B57" t="s">
        <v>26</v>
      </c>
      <c r="C57">
        <v>0</v>
      </c>
      <c r="D57">
        <v>2.973354578018188</v>
      </c>
      <c r="E57">
        <v>1</v>
      </c>
      <c r="F57">
        <v>1</v>
      </c>
      <c r="G57">
        <v>1</v>
      </c>
      <c r="H57">
        <v>1</v>
      </c>
      <c r="I57">
        <v>1</v>
      </c>
      <c r="J57">
        <v>1</v>
      </c>
      <c r="K57">
        <v>1</v>
      </c>
      <c r="L57">
        <v>1</v>
      </c>
      <c r="M57">
        <v>1</v>
      </c>
      <c r="N57">
        <v>1</v>
      </c>
      <c r="O57">
        <v>1</v>
      </c>
    </row>
    <row r="58" spans="1:16" x14ac:dyDescent="0.25">
      <c r="A58" t="s">
        <v>92</v>
      </c>
      <c r="B58" t="s">
        <v>27</v>
      </c>
      <c r="C58">
        <v>0</v>
      </c>
      <c r="D58">
        <v>4.5747296810150146</v>
      </c>
      <c r="E58">
        <v>1</v>
      </c>
      <c r="F58">
        <v>1</v>
      </c>
      <c r="G58">
        <v>1</v>
      </c>
      <c r="H58">
        <v>1</v>
      </c>
      <c r="I58">
        <v>1</v>
      </c>
      <c r="J58">
        <v>0</v>
      </c>
      <c r="K58">
        <v>1</v>
      </c>
      <c r="L58">
        <v>1</v>
      </c>
      <c r="M58">
        <v>1</v>
      </c>
      <c r="N58">
        <v>1</v>
      </c>
      <c r="O58">
        <v>1</v>
      </c>
      <c r="P58" t="s">
        <v>479</v>
      </c>
    </row>
    <row r="59" spans="1:16" x14ac:dyDescent="0.25">
      <c r="A59" t="s">
        <v>92</v>
      </c>
      <c r="B59" t="s">
        <v>28</v>
      </c>
      <c r="C59">
        <v>0</v>
      </c>
      <c r="D59">
        <v>10.268668651580811</v>
      </c>
      <c r="E59">
        <v>1</v>
      </c>
      <c r="F59">
        <v>1</v>
      </c>
      <c r="G59">
        <v>1</v>
      </c>
      <c r="H59">
        <v>1</v>
      </c>
      <c r="I59">
        <v>1</v>
      </c>
      <c r="J59">
        <v>1</v>
      </c>
      <c r="K59">
        <v>1</v>
      </c>
      <c r="L59">
        <v>1</v>
      </c>
      <c r="M59">
        <v>1</v>
      </c>
      <c r="N59">
        <v>1</v>
      </c>
      <c r="O59">
        <v>1</v>
      </c>
    </row>
    <row r="60" spans="1:16" x14ac:dyDescent="0.25">
      <c r="A60" t="s">
        <v>92</v>
      </c>
      <c r="B60" t="s">
        <v>29</v>
      </c>
      <c r="C60">
        <v>0</v>
      </c>
      <c r="D60">
        <v>4.1870803833007813</v>
      </c>
      <c r="E60">
        <v>1</v>
      </c>
      <c r="F60">
        <v>1</v>
      </c>
      <c r="G60">
        <v>1</v>
      </c>
      <c r="H60">
        <v>1</v>
      </c>
      <c r="I60">
        <v>1</v>
      </c>
      <c r="J60">
        <v>1</v>
      </c>
      <c r="K60">
        <v>0</v>
      </c>
      <c r="L60">
        <v>1</v>
      </c>
      <c r="M60">
        <v>1</v>
      </c>
      <c r="N60">
        <v>1</v>
      </c>
      <c r="O60">
        <v>1</v>
      </c>
      <c r="P60" t="s">
        <v>480</v>
      </c>
    </row>
    <row r="61" spans="1:16" x14ac:dyDescent="0.25">
      <c r="A61" t="s">
        <v>92</v>
      </c>
      <c r="B61" t="s">
        <v>30</v>
      </c>
      <c r="C61">
        <v>0</v>
      </c>
      <c r="D61">
        <v>10.51493501663208</v>
      </c>
      <c r="E61">
        <v>1</v>
      </c>
      <c r="F61">
        <v>1</v>
      </c>
      <c r="G61">
        <v>1</v>
      </c>
      <c r="H61">
        <v>1</v>
      </c>
      <c r="I61">
        <v>1</v>
      </c>
      <c r="J61">
        <v>1</v>
      </c>
      <c r="K61">
        <v>1</v>
      </c>
      <c r="L61">
        <v>1</v>
      </c>
      <c r="M61">
        <v>1</v>
      </c>
      <c r="N61">
        <v>1</v>
      </c>
      <c r="O61">
        <v>1</v>
      </c>
    </row>
    <row r="62" spans="1:16" x14ac:dyDescent="0.25">
      <c r="A62" t="s">
        <v>92</v>
      </c>
      <c r="B62" t="s">
        <v>32</v>
      </c>
      <c r="C62">
        <v>0</v>
      </c>
      <c r="D62">
        <v>10.42229056358337</v>
      </c>
      <c r="E62">
        <v>1</v>
      </c>
      <c r="F62">
        <v>1</v>
      </c>
      <c r="G62">
        <v>1</v>
      </c>
      <c r="H62">
        <v>1</v>
      </c>
      <c r="I62">
        <v>1</v>
      </c>
      <c r="J62">
        <v>1</v>
      </c>
      <c r="K62">
        <v>1</v>
      </c>
      <c r="L62">
        <v>1</v>
      </c>
      <c r="M62">
        <v>1</v>
      </c>
      <c r="N62">
        <v>1</v>
      </c>
      <c r="O62">
        <v>1</v>
      </c>
    </row>
    <row r="63" spans="1:16" x14ac:dyDescent="0.25">
      <c r="A63" t="s">
        <v>92</v>
      </c>
      <c r="B63" t="s">
        <v>33</v>
      </c>
      <c r="C63">
        <v>0</v>
      </c>
      <c r="D63">
        <v>2.9143412113189702</v>
      </c>
      <c r="E63">
        <v>1</v>
      </c>
      <c r="F63">
        <v>1</v>
      </c>
      <c r="G63">
        <v>1</v>
      </c>
      <c r="H63">
        <v>1</v>
      </c>
      <c r="I63">
        <v>1</v>
      </c>
      <c r="J63">
        <v>1</v>
      </c>
      <c r="K63">
        <v>1</v>
      </c>
      <c r="L63">
        <v>1</v>
      </c>
      <c r="M63">
        <v>1</v>
      </c>
      <c r="N63">
        <v>1</v>
      </c>
      <c r="O63">
        <v>1</v>
      </c>
    </row>
    <row r="64" spans="1:16" x14ac:dyDescent="0.25">
      <c r="A64" t="s">
        <v>92</v>
      </c>
      <c r="B64" t="s">
        <v>35</v>
      </c>
      <c r="C64">
        <v>0</v>
      </c>
      <c r="D64">
        <v>6.4166686534881592</v>
      </c>
      <c r="E64">
        <v>1</v>
      </c>
      <c r="F64">
        <v>1</v>
      </c>
      <c r="G64">
        <v>0</v>
      </c>
      <c r="H64" t="s">
        <v>22</v>
      </c>
      <c r="I64">
        <v>1</v>
      </c>
      <c r="J64">
        <v>1</v>
      </c>
      <c r="K64">
        <v>1</v>
      </c>
      <c r="L64">
        <v>1</v>
      </c>
      <c r="M64">
        <v>1</v>
      </c>
      <c r="N64">
        <v>1</v>
      </c>
      <c r="O64">
        <v>1</v>
      </c>
      <c r="P64" t="s">
        <v>481</v>
      </c>
    </row>
    <row r="65" spans="1:16" x14ac:dyDescent="0.25">
      <c r="A65" t="s">
        <v>92</v>
      </c>
      <c r="B65" t="s">
        <v>36</v>
      </c>
      <c r="C65">
        <v>0</v>
      </c>
      <c r="D65">
        <v>5.3955798149108887</v>
      </c>
      <c r="E65">
        <v>1</v>
      </c>
      <c r="F65">
        <v>0</v>
      </c>
      <c r="G65">
        <v>1</v>
      </c>
      <c r="H65" t="s">
        <v>22</v>
      </c>
      <c r="I65">
        <v>1</v>
      </c>
      <c r="J65" t="s">
        <v>22</v>
      </c>
      <c r="K65">
        <v>1</v>
      </c>
      <c r="L65">
        <v>1</v>
      </c>
      <c r="M65">
        <v>1</v>
      </c>
      <c r="N65">
        <v>1</v>
      </c>
      <c r="O65">
        <v>1</v>
      </c>
      <c r="P65" t="s">
        <v>482</v>
      </c>
    </row>
    <row r="66" spans="1:16" x14ac:dyDescent="0.25">
      <c r="A66" t="s">
        <v>92</v>
      </c>
      <c r="B66" t="s">
        <v>38</v>
      </c>
      <c r="C66">
        <v>0</v>
      </c>
      <c r="D66">
        <v>2.8345768451690669</v>
      </c>
      <c r="E66">
        <v>1</v>
      </c>
      <c r="F66">
        <v>1</v>
      </c>
      <c r="G66">
        <v>1</v>
      </c>
      <c r="H66">
        <v>1</v>
      </c>
      <c r="I66">
        <v>1</v>
      </c>
      <c r="J66">
        <v>1</v>
      </c>
      <c r="K66">
        <v>1</v>
      </c>
      <c r="L66">
        <v>1</v>
      </c>
      <c r="M66">
        <v>1</v>
      </c>
      <c r="N66">
        <v>1</v>
      </c>
      <c r="O66">
        <v>1</v>
      </c>
    </row>
    <row r="67" spans="1:16" x14ac:dyDescent="0.25">
      <c r="A67" t="s">
        <v>92</v>
      </c>
      <c r="B67" t="s">
        <v>39</v>
      </c>
      <c r="C67">
        <v>0</v>
      </c>
      <c r="D67">
        <v>2.9753348827362061</v>
      </c>
      <c r="E67">
        <v>1</v>
      </c>
      <c r="F67">
        <v>1</v>
      </c>
      <c r="G67">
        <v>1</v>
      </c>
      <c r="H67">
        <v>1</v>
      </c>
      <c r="I67">
        <v>1</v>
      </c>
      <c r="J67">
        <v>1</v>
      </c>
      <c r="K67">
        <v>1</v>
      </c>
      <c r="L67">
        <v>1</v>
      </c>
      <c r="M67">
        <v>1</v>
      </c>
      <c r="N67">
        <v>1</v>
      </c>
      <c r="O67">
        <v>1</v>
      </c>
    </row>
    <row r="68" spans="1:16" x14ac:dyDescent="0.25">
      <c r="A68" t="s">
        <v>92</v>
      </c>
      <c r="B68" t="s">
        <v>40</v>
      </c>
      <c r="C68">
        <v>0</v>
      </c>
      <c r="D68">
        <v>12.38556528091431</v>
      </c>
      <c r="E68">
        <v>1</v>
      </c>
      <c r="F68">
        <v>1</v>
      </c>
      <c r="G68">
        <v>0</v>
      </c>
      <c r="H68" t="s">
        <v>22</v>
      </c>
      <c r="I68">
        <v>1</v>
      </c>
      <c r="J68">
        <v>1</v>
      </c>
      <c r="K68">
        <v>1</v>
      </c>
      <c r="L68">
        <v>1</v>
      </c>
      <c r="M68">
        <v>1</v>
      </c>
      <c r="N68">
        <v>1</v>
      </c>
      <c r="O68">
        <v>1</v>
      </c>
      <c r="P68" t="s">
        <v>483</v>
      </c>
    </row>
    <row r="69" spans="1:16" x14ac:dyDescent="0.25">
      <c r="A69" t="s">
        <v>92</v>
      </c>
      <c r="B69" t="s">
        <v>41</v>
      </c>
      <c r="C69">
        <v>0</v>
      </c>
      <c r="D69">
        <v>10.220716238021851</v>
      </c>
      <c r="E69">
        <v>1</v>
      </c>
      <c r="F69">
        <v>1</v>
      </c>
      <c r="G69">
        <v>1</v>
      </c>
      <c r="H69">
        <v>1</v>
      </c>
      <c r="I69">
        <v>1</v>
      </c>
      <c r="J69">
        <v>1</v>
      </c>
      <c r="K69">
        <v>1</v>
      </c>
      <c r="L69">
        <v>1</v>
      </c>
      <c r="M69">
        <v>1</v>
      </c>
      <c r="N69">
        <v>1</v>
      </c>
      <c r="O69">
        <v>1</v>
      </c>
    </row>
    <row r="70" spans="1:16" x14ac:dyDescent="0.25">
      <c r="A70" t="s">
        <v>92</v>
      </c>
      <c r="B70" t="s">
        <v>43</v>
      </c>
      <c r="C70">
        <v>0</v>
      </c>
      <c r="D70">
        <v>8.60040283203125</v>
      </c>
      <c r="E70">
        <v>1</v>
      </c>
      <c r="F70">
        <v>1</v>
      </c>
      <c r="G70">
        <v>1</v>
      </c>
      <c r="H70">
        <v>1</v>
      </c>
      <c r="I70">
        <v>1</v>
      </c>
      <c r="J70">
        <v>1</v>
      </c>
      <c r="K70">
        <v>1</v>
      </c>
      <c r="L70">
        <v>1</v>
      </c>
      <c r="M70">
        <v>1</v>
      </c>
      <c r="N70">
        <v>1</v>
      </c>
      <c r="O70">
        <v>1</v>
      </c>
    </row>
    <row r="71" spans="1:16" x14ac:dyDescent="0.25">
      <c r="A71" t="s">
        <v>92</v>
      </c>
      <c r="B71" t="s">
        <v>44</v>
      </c>
      <c r="C71">
        <v>0</v>
      </c>
      <c r="D71">
        <v>10.32068181037903</v>
      </c>
      <c r="E71">
        <v>1</v>
      </c>
      <c r="F71">
        <v>1</v>
      </c>
      <c r="G71">
        <v>1</v>
      </c>
      <c r="H71">
        <v>1</v>
      </c>
      <c r="I71">
        <v>1</v>
      </c>
      <c r="J71">
        <v>1</v>
      </c>
      <c r="K71">
        <v>1</v>
      </c>
      <c r="L71">
        <v>1</v>
      </c>
      <c r="M71">
        <v>1</v>
      </c>
      <c r="N71">
        <v>1</v>
      </c>
      <c r="O71">
        <v>1</v>
      </c>
    </row>
    <row r="72" spans="1:16" x14ac:dyDescent="0.25">
      <c r="A72" t="s">
        <v>92</v>
      </c>
      <c r="B72" t="s">
        <v>45</v>
      </c>
      <c r="C72">
        <v>0</v>
      </c>
      <c r="D72">
        <v>10.02651572227478</v>
      </c>
      <c r="E72">
        <v>1</v>
      </c>
      <c r="F72">
        <v>1</v>
      </c>
      <c r="G72">
        <v>1</v>
      </c>
      <c r="H72">
        <v>1</v>
      </c>
      <c r="I72">
        <v>1</v>
      </c>
      <c r="J72">
        <v>1</v>
      </c>
      <c r="K72">
        <v>1</v>
      </c>
      <c r="L72">
        <v>1</v>
      </c>
      <c r="M72">
        <v>1</v>
      </c>
      <c r="N72">
        <v>1</v>
      </c>
      <c r="O72">
        <v>1</v>
      </c>
    </row>
    <row r="73" spans="1:16" x14ac:dyDescent="0.25">
      <c r="A73" t="s">
        <v>92</v>
      </c>
      <c r="B73" t="s">
        <v>46</v>
      </c>
      <c r="C73">
        <v>0</v>
      </c>
      <c r="D73">
        <v>10.042344331741329</v>
      </c>
      <c r="E73">
        <v>1</v>
      </c>
      <c r="F73">
        <v>1</v>
      </c>
      <c r="G73">
        <v>1</v>
      </c>
      <c r="H73">
        <v>1</v>
      </c>
      <c r="I73">
        <v>1</v>
      </c>
      <c r="J73">
        <v>1</v>
      </c>
      <c r="K73">
        <v>1</v>
      </c>
      <c r="L73">
        <v>1</v>
      </c>
      <c r="M73">
        <v>1</v>
      </c>
      <c r="N73">
        <v>1</v>
      </c>
      <c r="O73">
        <v>1</v>
      </c>
    </row>
    <row r="74" spans="1:16" x14ac:dyDescent="0.25">
      <c r="A74" t="s">
        <v>92</v>
      </c>
      <c r="B74" t="s">
        <v>47</v>
      </c>
      <c r="C74">
        <v>0</v>
      </c>
      <c r="D74">
        <v>8.4212837219238281</v>
      </c>
      <c r="E74">
        <v>0</v>
      </c>
      <c r="F74" t="s">
        <v>22</v>
      </c>
      <c r="G74" t="s">
        <v>22</v>
      </c>
      <c r="H74" t="s">
        <v>22</v>
      </c>
      <c r="I74" t="s">
        <v>22</v>
      </c>
      <c r="J74" t="s">
        <v>22</v>
      </c>
      <c r="K74" t="s">
        <v>22</v>
      </c>
      <c r="L74" t="s">
        <v>22</v>
      </c>
      <c r="M74" t="s">
        <v>22</v>
      </c>
      <c r="N74" t="s">
        <v>22</v>
      </c>
      <c r="O74" t="s">
        <v>22</v>
      </c>
      <c r="P74" t="s">
        <v>484</v>
      </c>
    </row>
    <row r="75" spans="1:16" x14ac:dyDescent="0.25">
      <c r="A75" t="s">
        <v>92</v>
      </c>
      <c r="B75" t="s">
        <v>48</v>
      </c>
      <c r="C75">
        <v>0</v>
      </c>
      <c r="D75">
        <v>10.591740846633909</v>
      </c>
      <c r="E75">
        <v>1</v>
      </c>
      <c r="F75">
        <v>1</v>
      </c>
      <c r="G75">
        <v>0</v>
      </c>
      <c r="H75" t="s">
        <v>22</v>
      </c>
      <c r="I75">
        <v>1</v>
      </c>
      <c r="J75">
        <v>1</v>
      </c>
      <c r="K75">
        <v>1</v>
      </c>
      <c r="L75">
        <v>1</v>
      </c>
      <c r="M75">
        <v>1</v>
      </c>
      <c r="N75">
        <v>1</v>
      </c>
      <c r="O75">
        <v>1</v>
      </c>
      <c r="P75" t="s">
        <v>485</v>
      </c>
    </row>
    <row r="76" spans="1:16" x14ac:dyDescent="0.25">
      <c r="A76" t="s">
        <v>92</v>
      </c>
      <c r="B76" t="s">
        <v>49</v>
      </c>
      <c r="C76">
        <v>0</v>
      </c>
      <c r="D76">
        <v>10.02419376373291</v>
      </c>
      <c r="E76">
        <v>1</v>
      </c>
      <c r="F76">
        <v>1</v>
      </c>
      <c r="G76">
        <v>1</v>
      </c>
      <c r="H76">
        <v>1</v>
      </c>
      <c r="I76">
        <v>1</v>
      </c>
      <c r="J76">
        <v>1</v>
      </c>
      <c r="K76">
        <v>1</v>
      </c>
      <c r="L76">
        <v>1</v>
      </c>
      <c r="M76">
        <v>1</v>
      </c>
      <c r="N76">
        <v>1</v>
      </c>
      <c r="O76">
        <v>1</v>
      </c>
    </row>
    <row r="77" spans="1:16" x14ac:dyDescent="0.25">
      <c r="A77" t="s">
        <v>92</v>
      </c>
      <c r="B77" t="s">
        <v>51</v>
      </c>
      <c r="C77">
        <v>0</v>
      </c>
      <c r="D77">
        <v>4.7047438621520996</v>
      </c>
      <c r="E77">
        <v>1</v>
      </c>
      <c r="F77">
        <v>0</v>
      </c>
      <c r="G77">
        <v>1</v>
      </c>
      <c r="H77" t="s">
        <v>22</v>
      </c>
      <c r="I77">
        <v>1</v>
      </c>
      <c r="J77" t="s">
        <v>22</v>
      </c>
      <c r="K77">
        <v>1</v>
      </c>
      <c r="L77">
        <v>1</v>
      </c>
      <c r="M77">
        <v>1</v>
      </c>
      <c r="N77">
        <v>1</v>
      </c>
      <c r="O77">
        <v>1</v>
      </c>
      <c r="P77" t="s">
        <v>486</v>
      </c>
    </row>
    <row r="78" spans="1:16" x14ac:dyDescent="0.25">
      <c r="A78" t="s">
        <v>92</v>
      </c>
      <c r="B78" t="s">
        <v>53</v>
      </c>
      <c r="C78">
        <v>0</v>
      </c>
      <c r="D78">
        <v>4.5652730464935303</v>
      </c>
      <c r="E78">
        <v>1</v>
      </c>
      <c r="F78">
        <v>0</v>
      </c>
      <c r="G78">
        <v>1</v>
      </c>
      <c r="H78" t="s">
        <v>22</v>
      </c>
      <c r="I78">
        <v>1</v>
      </c>
      <c r="J78" t="s">
        <v>22</v>
      </c>
      <c r="K78">
        <v>1</v>
      </c>
      <c r="L78">
        <v>1</v>
      </c>
      <c r="M78">
        <v>1</v>
      </c>
      <c r="N78">
        <v>1</v>
      </c>
      <c r="O78">
        <v>1</v>
      </c>
      <c r="P78" t="s">
        <v>487</v>
      </c>
    </row>
    <row r="79" spans="1:16" x14ac:dyDescent="0.25">
      <c r="A79" t="s">
        <v>92</v>
      </c>
      <c r="B79" t="s">
        <v>54</v>
      </c>
      <c r="C79">
        <v>0</v>
      </c>
      <c r="D79">
        <v>7.3940613269805908</v>
      </c>
      <c r="E79">
        <v>1</v>
      </c>
      <c r="F79">
        <v>1</v>
      </c>
      <c r="G79">
        <v>1</v>
      </c>
      <c r="H79">
        <v>1</v>
      </c>
      <c r="I79">
        <v>1</v>
      </c>
      <c r="J79">
        <v>1</v>
      </c>
      <c r="K79">
        <v>0</v>
      </c>
      <c r="L79">
        <v>1</v>
      </c>
      <c r="M79">
        <v>1</v>
      </c>
      <c r="N79">
        <v>1</v>
      </c>
      <c r="O79">
        <v>1</v>
      </c>
      <c r="P79" t="s">
        <v>488</v>
      </c>
    </row>
    <row r="80" spans="1:16" x14ac:dyDescent="0.25">
      <c r="A80" t="s">
        <v>92</v>
      </c>
      <c r="B80" t="s">
        <v>56</v>
      </c>
      <c r="C80">
        <v>0</v>
      </c>
      <c r="D80">
        <v>10.1266622543335</v>
      </c>
      <c r="E80">
        <v>1</v>
      </c>
      <c r="F80">
        <v>1</v>
      </c>
      <c r="G80">
        <v>1</v>
      </c>
      <c r="H80">
        <v>1</v>
      </c>
      <c r="I80">
        <v>1</v>
      </c>
      <c r="J80">
        <v>1</v>
      </c>
      <c r="K80">
        <v>1</v>
      </c>
      <c r="L80">
        <v>1</v>
      </c>
      <c r="M80">
        <v>1</v>
      </c>
      <c r="N80">
        <v>1</v>
      </c>
      <c r="O80">
        <v>1</v>
      </c>
    </row>
    <row r="81" spans="1:16" x14ac:dyDescent="0.25">
      <c r="A81" t="s">
        <v>92</v>
      </c>
      <c r="B81" t="s">
        <v>58</v>
      </c>
      <c r="C81">
        <v>0</v>
      </c>
      <c r="D81">
        <v>14.312466144561769</v>
      </c>
      <c r="E81">
        <v>1</v>
      </c>
      <c r="F81">
        <v>0</v>
      </c>
      <c r="G81">
        <v>0</v>
      </c>
      <c r="H81" t="s">
        <v>22</v>
      </c>
      <c r="I81">
        <v>1</v>
      </c>
      <c r="J81" t="s">
        <v>22</v>
      </c>
      <c r="K81">
        <v>0</v>
      </c>
      <c r="L81">
        <v>1</v>
      </c>
      <c r="M81">
        <v>1</v>
      </c>
      <c r="N81">
        <v>1</v>
      </c>
      <c r="O81">
        <v>1</v>
      </c>
      <c r="P81" t="s">
        <v>489</v>
      </c>
    </row>
    <row r="82" spans="1:16" x14ac:dyDescent="0.25">
      <c r="A82" t="s">
        <v>92</v>
      </c>
      <c r="B82" t="s">
        <v>60</v>
      </c>
      <c r="C82">
        <v>0</v>
      </c>
      <c r="D82">
        <v>10.863116979599001</v>
      </c>
      <c r="E82">
        <v>1</v>
      </c>
      <c r="F82">
        <v>1</v>
      </c>
      <c r="G82">
        <v>0</v>
      </c>
      <c r="H82" t="s">
        <v>22</v>
      </c>
      <c r="I82">
        <v>1</v>
      </c>
      <c r="J82">
        <v>1</v>
      </c>
      <c r="K82">
        <v>1</v>
      </c>
      <c r="L82">
        <v>1</v>
      </c>
      <c r="M82">
        <v>1</v>
      </c>
      <c r="N82">
        <v>1</v>
      </c>
      <c r="O82">
        <v>1</v>
      </c>
      <c r="P82" t="s">
        <v>490</v>
      </c>
    </row>
    <row r="83" spans="1:16" x14ac:dyDescent="0.25">
      <c r="A83" t="s">
        <v>92</v>
      </c>
      <c r="B83" t="s">
        <v>62</v>
      </c>
      <c r="C83">
        <v>0</v>
      </c>
      <c r="D83">
        <v>9.622617244720459</v>
      </c>
      <c r="E83">
        <v>1</v>
      </c>
      <c r="F83">
        <v>1</v>
      </c>
      <c r="G83">
        <v>1</v>
      </c>
      <c r="H83">
        <v>1</v>
      </c>
      <c r="I83">
        <v>1</v>
      </c>
      <c r="J83">
        <v>1</v>
      </c>
      <c r="K83">
        <v>1</v>
      </c>
      <c r="L83">
        <v>1</v>
      </c>
      <c r="M83">
        <v>1</v>
      </c>
      <c r="N83">
        <v>1</v>
      </c>
      <c r="O83">
        <v>1</v>
      </c>
    </row>
    <row r="84" spans="1:16" x14ac:dyDescent="0.25">
      <c r="A84" t="s">
        <v>92</v>
      </c>
      <c r="B84" t="s">
        <v>64</v>
      </c>
      <c r="C84">
        <v>0</v>
      </c>
      <c r="D84">
        <v>7.5394487380981454</v>
      </c>
      <c r="E84">
        <v>0</v>
      </c>
      <c r="F84" t="s">
        <v>22</v>
      </c>
      <c r="G84" t="s">
        <v>22</v>
      </c>
      <c r="H84" t="s">
        <v>22</v>
      </c>
      <c r="I84" t="s">
        <v>22</v>
      </c>
      <c r="J84" t="s">
        <v>22</v>
      </c>
      <c r="K84" t="s">
        <v>22</v>
      </c>
      <c r="L84" t="s">
        <v>22</v>
      </c>
      <c r="M84" t="s">
        <v>22</v>
      </c>
      <c r="N84" t="s">
        <v>22</v>
      </c>
      <c r="O84" t="s">
        <v>22</v>
      </c>
      <c r="P84" t="s">
        <v>491</v>
      </c>
    </row>
    <row r="85" spans="1:16" x14ac:dyDescent="0.25">
      <c r="A85" t="s">
        <v>92</v>
      </c>
      <c r="B85" t="s">
        <v>66</v>
      </c>
      <c r="C85">
        <v>0</v>
      </c>
      <c r="D85">
        <v>11.27442646026611</v>
      </c>
      <c r="E85">
        <v>1</v>
      </c>
      <c r="F85">
        <v>1</v>
      </c>
      <c r="G85">
        <v>0</v>
      </c>
      <c r="H85" t="s">
        <v>22</v>
      </c>
      <c r="I85">
        <v>1</v>
      </c>
      <c r="J85">
        <v>1</v>
      </c>
      <c r="K85">
        <v>1</v>
      </c>
      <c r="L85">
        <v>1</v>
      </c>
      <c r="M85">
        <v>1</v>
      </c>
      <c r="N85">
        <v>1</v>
      </c>
      <c r="O85">
        <v>1</v>
      </c>
      <c r="P85" t="s">
        <v>492</v>
      </c>
    </row>
    <row r="86" spans="1:16" x14ac:dyDescent="0.25">
      <c r="A86" t="s">
        <v>92</v>
      </c>
      <c r="B86" t="s">
        <v>67</v>
      </c>
      <c r="C86">
        <v>0</v>
      </c>
      <c r="D86">
        <v>7.8736555576324463</v>
      </c>
      <c r="E86">
        <v>1</v>
      </c>
      <c r="F86">
        <v>1</v>
      </c>
      <c r="G86">
        <v>1</v>
      </c>
      <c r="H86">
        <v>1</v>
      </c>
      <c r="I86">
        <v>1</v>
      </c>
      <c r="J86">
        <v>1</v>
      </c>
      <c r="K86">
        <v>0</v>
      </c>
      <c r="L86">
        <v>0</v>
      </c>
      <c r="M86">
        <v>1</v>
      </c>
      <c r="N86">
        <v>1</v>
      </c>
      <c r="O86">
        <v>1</v>
      </c>
      <c r="P86" t="s">
        <v>493</v>
      </c>
    </row>
    <row r="87" spans="1:16" x14ac:dyDescent="0.25">
      <c r="A87" t="s">
        <v>92</v>
      </c>
      <c r="B87" t="s">
        <v>69</v>
      </c>
      <c r="C87">
        <v>0</v>
      </c>
      <c r="D87">
        <v>6.4345760345458984</v>
      </c>
      <c r="E87">
        <v>0</v>
      </c>
      <c r="F87" t="s">
        <v>22</v>
      </c>
      <c r="G87" t="s">
        <v>22</v>
      </c>
      <c r="H87" t="s">
        <v>22</v>
      </c>
      <c r="I87" t="s">
        <v>22</v>
      </c>
      <c r="J87" t="s">
        <v>22</v>
      </c>
      <c r="K87" t="s">
        <v>22</v>
      </c>
      <c r="L87" t="s">
        <v>22</v>
      </c>
      <c r="M87" t="s">
        <v>22</v>
      </c>
      <c r="N87" t="s">
        <v>22</v>
      </c>
      <c r="O87" t="s">
        <v>22</v>
      </c>
      <c r="P87" t="s">
        <v>494</v>
      </c>
    </row>
    <row r="88" spans="1:16" x14ac:dyDescent="0.25">
      <c r="A88" t="s">
        <v>92</v>
      </c>
      <c r="B88" t="s">
        <v>70</v>
      </c>
      <c r="C88">
        <v>0</v>
      </c>
      <c r="D88">
        <v>8.096071720123291</v>
      </c>
      <c r="E88">
        <v>1</v>
      </c>
      <c r="F88">
        <v>1</v>
      </c>
      <c r="G88">
        <v>1</v>
      </c>
      <c r="H88">
        <v>0</v>
      </c>
      <c r="I88">
        <v>1</v>
      </c>
      <c r="J88">
        <v>1</v>
      </c>
      <c r="K88">
        <v>1</v>
      </c>
      <c r="L88">
        <v>1</v>
      </c>
      <c r="M88">
        <v>0</v>
      </c>
      <c r="N88">
        <v>1</v>
      </c>
      <c r="O88">
        <v>1</v>
      </c>
      <c r="P88" t="s">
        <v>495</v>
      </c>
    </row>
    <row r="89" spans="1:16" x14ac:dyDescent="0.25">
      <c r="A89" t="s">
        <v>92</v>
      </c>
      <c r="B89" t="s">
        <v>71</v>
      </c>
      <c r="C89">
        <v>0</v>
      </c>
      <c r="D89">
        <v>9.9114048480987549</v>
      </c>
      <c r="E89">
        <v>1</v>
      </c>
      <c r="F89">
        <v>1</v>
      </c>
      <c r="G89">
        <v>1</v>
      </c>
      <c r="H89">
        <v>1</v>
      </c>
      <c r="I89">
        <v>1</v>
      </c>
      <c r="J89">
        <v>1</v>
      </c>
      <c r="K89">
        <v>1</v>
      </c>
      <c r="L89">
        <v>1</v>
      </c>
      <c r="M89">
        <v>1</v>
      </c>
      <c r="N89">
        <v>1</v>
      </c>
      <c r="O89">
        <v>1</v>
      </c>
    </row>
    <row r="90" spans="1:16" x14ac:dyDescent="0.25">
      <c r="A90" t="s">
        <v>92</v>
      </c>
      <c r="B90" t="s">
        <v>73</v>
      </c>
      <c r="C90">
        <v>0</v>
      </c>
      <c r="D90">
        <v>2.8670089244842529</v>
      </c>
      <c r="E90">
        <v>1</v>
      </c>
      <c r="F90">
        <v>1</v>
      </c>
      <c r="G90">
        <v>1</v>
      </c>
      <c r="H90">
        <v>1</v>
      </c>
      <c r="I90">
        <v>1</v>
      </c>
      <c r="J90">
        <v>1</v>
      </c>
      <c r="K90">
        <v>1</v>
      </c>
      <c r="L90">
        <v>1</v>
      </c>
      <c r="M90">
        <v>1</v>
      </c>
      <c r="N90">
        <v>1</v>
      </c>
      <c r="O90">
        <v>1</v>
      </c>
    </row>
    <row r="91" spans="1:16" x14ac:dyDescent="0.25">
      <c r="A91" t="s">
        <v>92</v>
      </c>
      <c r="B91" t="s">
        <v>75</v>
      </c>
      <c r="C91">
        <v>0</v>
      </c>
      <c r="D91">
        <v>2.9690179824829102</v>
      </c>
      <c r="E91">
        <v>1</v>
      </c>
      <c r="F91">
        <v>1</v>
      </c>
      <c r="G91">
        <v>1</v>
      </c>
      <c r="H91">
        <v>1</v>
      </c>
      <c r="I91">
        <v>1</v>
      </c>
      <c r="J91">
        <v>1</v>
      </c>
      <c r="K91">
        <v>1</v>
      </c>
      <c r="L91">
        <v>1</v>
      </c>
      <c r="M91">
        <v>1</v>
      </c>
      <c r="N91">
        <v>1</v>
      </c>
      <c r="O91">
        <v>1</v>
      </c>
    </row>
    <row r="92" spans="1:16" x14ac:dyDescent="0.25">
      <c r="A92" t="s">
        <v>92</v>
      </c>
      <c r="B92" t="s">
        <v>77</v>
      </c>
      <c r="C92">
        <v>0</v>
      </c>
      <c r="D92">
        <v>9.946465015411377</v>
      </c>
      <c r="E92">
        <v>1</v>
      </c>
      <c r="F92">
        <v>1</v>
      </c>
      <c r="G92">
        <v>1</v>
      </c>
      <c r="H92">
        <v>1</v>
      </c>
      <c r="I92">
        <v>1</v>
      </c>
      <c r="J92">
        <v>1</v>
      </c>
      <c r="K92">
        <v>1</v>
      </c>
      <c r="L92">
        <v>1</v>
      </c>
      <c r="M92">
        <v>1</v>
      </c>
      <c r="N92">
        <v>1</v>
      </c>
      <c r="O92">
        <v>1</v>
      </c>
    </row>
    <row r="93" spans="1:16" x14ac:dyDescent="0.25">
      <c r="A93" t="s">
        <v>92</v>
      </c>
      <c r="B93" t="s">
        <v>79</v>
      </c>
      <c r="C93">
        <v>0</v>
      </c>
      <c r="D93">
        <v>2.8073866367340088</v>
      </c>
      <c r="E93">
        <v>1</v>
      </c>
      <c r="F93">
        <v>1</v>
      </c>
      <c r="G93">
        <v>1</v>
      </c>
      <c r="H93">
        <v>1</v>
      </c>
      <c r="I93">
        <v>1</v>
      </c>
      <c r="J93">
        <v>1</v>
      </c>
      <c r="K93">
        <v>1</v>
      </c>
      <c r="L93">
        <v>1</v>
      </c>
      <c r="M93">
        <v>1</v>
      </c>
      <c r="N93">
        <v>1</v>
      </c>
      <c r="O93">
        <v>1</v>
      </c>
    </row>
    <row r="94" spans="1:16" x14ac:dyDescent="0.25">
      <c r="A94" t="s">
        <v>92</v>
      </c>
      <c r="B94" t="s">
        <v>81</v>
      </c>
      <c r="C94">
        <v>0</v>
      </c>
      <c r="D94">
        <v>11.144024610519409</v>
      </c>
      <c r="E94">
        <v>1</v>
      </c>
      <c r="F94">
        <v>1</v>
      </c>
      <c r="G94">
        <v>1</v>
      </c>
      <c r="H94">
        <v>1</v>
      </c>
      <c r="I94">
        <v>1</v>
      </c>
      <c r="J94">
        <v>1</v>
      </c>
      <c r="K94">
        <v>1</v>
      </c>
      <c r="L94">
        <v>1</v>
      </c>
      <c r="M94">
        <v>1</v>
      </c>
      <c r="N94">
        <v>1</v>
      </c>
      <c r="O94">
        <v>1</v>
      </c>
    </row>
    <row r="95" spans="1:16" x14ac:dyDescent="0.25">
      <c r="A95" t="s">
        <v>92</v>
      </c>
      <c r="B95" t="s">
        <v>83</v>
      </c>
      <c r="C95">
        <v>0</v>
      </c>
      <c r="D95">
        <v>13.603111028671259</v>
      </c>
      <c r="E95">
        <v>1</v>
      </c>
      <c r="F95">
        <v>1</v>
      </c>
      <c r="G95">
        <v>1</v>
      </c>
      <c r="H95">
        <v>1</v>
      </c>
      <c r="I95">
        <v>1</v>
      </c>
      <c r="J95">
        <v>0</v>
      </c>
      <c r="K95">
        <v>1</v>
      </c>
      <c r="L95">
        <v>1</v>
      </c>
      <c r="M95">
        <v>1</v>
      </c>
      <c r="N95">
        <v>1</v>
      </c>
      <c r="O95">
        <v>1</v>
      </c>
      <c r="P95" t="s">
        <v>496</v>
      </c>
    </row>
    <row r="96" spans="1:16" x14ac:dyDescent="0.25">
      <c r="A96" t="s">
        <v>92</v>
      </c>
      <c r="B96" t="s">
        <v>85</v>
      </c>
      <c r="C96">
        <v>0</v>
      </c>
      <c r="D96">
        <v>7.8926689624786377</v>
      </c>
      <c r="E96">
        <v>1</v>
      </c>
      <c r="F96">
        <v>1</v>
      </c>
      <c r="G96">
        <v>1</v>
      </c>
      <c r="H96">
        <v>1</v>
      </c>
      <c r="I96">
        <v>1</v>
      </c>
      <c r="J96">
        <v>0</v>
      </c>
      <c r="K96">
        <v>1</v>
      </c>
      <c r="L96">
        <v>1</v>
      </c>
      <c r="M96">
        <v>1</v>
      </c>
      <c r="N96">
        <v>1</v>
      </c>
      <c r="O96">
        <v>1</v>
      </c>
      <c r="P96" t="s">
        <v>497</v>
      </c>
    </row>
    <row r="97" spans="1:16" x14ac:dyDescent="0.25">
      <c r="A97" t="s">
        <v>92</v>
      </c>
      <c r="B97" t="s">
        <v>87</v>
      </c>
      <c r="C97">
        <v>0</v>
      </c>
      <c r="D97">
        <v>12.164171934127809</v>
      </c>
      <c r="E97">
        <v>1</v>
      </c>
      <c r="F97">
        <v>1</v>
      </c>
      <c r="G97">
        <v>1</v>
      </c>
      <c r="H97">
        <v>1</v>
      </c>
      <c r="I97">
        <v>1</v>
      </c>
      <c r="J97">
        <v>0</v>
      </c>
      <c r="K97">
        <v>1</v>
      </c>
      <c r="L97">
        <v>1</v>
      </c>
      <c r="M97">
        <v>1</v>
      </c>
      <c r="N97">
        <v>1</v>
      </c>
      <c r="O97">
        <v>1</v>
      </c>
      <c r="P97" t="s">
        <v>498</v>
      </c>
    </row>
    <row r="98" spans="1:16" x14ac:dyDescent="0.25">
      <c r="A98" t="s">
        <v>92</v>
      </c>
      <c r="B98" t="s">
        <v>89</v>
      </c>
      <c r="C98">
        <v>0</v>
      </c>
      <c r="D98">
        <v>10.45696234703064</v>
      </c>
      <c r="E98">
        <v>1</v>
      </c>
      <c r="F98">
        <v>1</v>
      </c>
      <c r="G98">
        <v>1</v>
      </c>
      <c r="H98">
        <v>1</v>
      </c>
      <c r="I98">
        <v>1</v>
      </c>
      <c r="J98">
        <v>0</v>
      </c>
      <c r="K98">
        <v>1</v>
      </c>
      <c r="L98">
        <v>1</v>
      </c>
      <c r="M98">
        <v>1</v>
      </c>
      <c r="N98">
        <v>1</v>
      </c>
      <c r="O98">
        <v>1</v>
      </c>
      <c r="P98" t="s">
        <v>499</v>
      </c>
    </row>
    <row r="99" spans="1:16" x14ac:dyDescent="0.25">
      <c r="A99" t="s">
        <v>92</v>
      </c>
      <c r="B99" t="s">
        <v>90</v>
      </c>
      <c r="C99">
        <v>0</v>
      </c>
      <c r="D99">
        <v>4.8831336498260498</v>
      </c>
      <c r="E99">
        <v>1</v>
      </c>
      <c r="F99">
        <v>1</v>
      </c>
      <c r="G99">
        <v>1</v>
      </c>
      <c r="H99">
        <v>1</v>
      </c>
      <c r="I99">
        <v>1</v>
      </c>
      <c r="J99">
        <v>0</v>
      </c>
      <c r="K99">
        <v>1</v>
      </c>
      <c r="L99">
        <v>1</v>
      </c>
      <c r="M99">
        <v>1</v>
      </c>
      <c r="N99">
        <v>1</v>
      </c>
      <c r="O99">
        <v>1</v>
      </c>
      <c r="P99" t="s">
        <v>500</v>
      </c>
    </row>
    <row r="100" spans="1:16" x14ac:dyDescent="0.25">
      <c r="A100" t="s">
        <v>92</v>
      </c>
      <c r="B100" t="s">
        <v>115</v>
      </c>
      <c r="C100">
        <v>0</v>
      </c>
      <c r="D100">
        <v>8.2547366619110107</v>
      </c>
      <c r="E100">
        <v>1</v>
      </c>
      <c r="F100">
        <v>0</v>
      </c>
      <c r="G100">
        <v>0</v>
      </c>
      <c r="H100" t="s">
        <v>22</v>
      </c>
      <c r="I100">
        <v>1</v>
      </c>
      <c r="J100" t="s">
        <v>22</v>
      </c>
      <c r="K100">
        <v>1</v>
      </c>
      <c r="L100">
        <v>1</v>
      </c>
      <c r="M100">
        <v>1</v>
      </c>
      <c r="N100">
        <v>1</v>
      </c>
      <c r="O100">
        <v>1</v>
      </c>
      <c r="P100" t="s">
        <v>501</v>
      </c>
    </row>
    <row r="101" spans="1:16" x14ac:dyDescent="0.25">
      <c r="A101" t="s">
        <v>92</v>
      </c>
      <c r="B101" t="s">
        <v>117</v>
      </c>
      <c r="C101">
        <v>0</v>
      </c>
      <c r="D101">
        <v>4.6806707382202148</v>
      </c>
      <c r="E101">
        <v>1</v>
      </c>
      <c r="F101">
        <v>1</v>
      </c>
      <c r="G101">
        <v>1</v>
      </c>
      <c r="H101">
        <v>1</v>
      </c>
      <c r="I101">
        <v>1</v>
      </c>
      <c r="J101">
        <v>0</v>
      </c>
      <c r="K101">
        <v>1</v>
      </c>
      <c r="L101">
        <v>1</v>
      </c>
      <c r="M101">
        <v>1</v>
      </c>
      <c r="N101">
        <v>1</v>
      </c>
      <c r="O101">
        <v>1</v>
      </c>
      <c r="P101" t="s">
        <v>502</v>
      </c>
    </row>
    <row r="102" spans="1:16" x14ac:dyDescent="0.25">
      <c r="A102" t="s">
        <v>92</v>
      </c>
      <c r="B102" t="s">
        <v>119</v>
      </c>
      <c r="C102">
        <v>0</v>
      </c>
      <c r="D102">
        <v>10.59862351417542</v>
      </c>
      <c r="E102">
        <v>1</v>
      </c>
      <c r="F102">
        <v>1</v>
      </c>
      <c r="G102">
        <v>1</v>
      </c>
      <c r="H102">
        <v>1</v>
      </c>
      <c r="I102">
        <v>1</v>
      </c>
      <c r="J102">
        <v>0</v>
      </c>
      <c r="K102">
        <v>1</v>
      </c>
      <c r="L102">
        <v>1</v>
      </c>
      <c r="M102">
        <v>1</v>
      </c>
      <c r="N102">
        <v>1</v>
      </c>
      <c r="O102">
        <v>1</v>
      </c>
      <c r="P102" t="s">
        <v>503</v>
      </c>
    </row>
    <row r="103" spans="1:16" x14ac:dyDescent="0.25">
      <c r="A103" t="s">
        <v>92</v>
      </c>
      <c r="B103" t="s">
        <v>121</v>
      </c>
      <c r="C103">
        <v>0</v>
      </c>
      <c r="D103">
        <v>11.24172258377075</v>
      </c>
      <c r="E103">
        <v>1</v>
      </c>
      <c r="F103">
        <v>1</v>
      </c>
      <c r="G103">
        <v>1</v>
      </c>
      <c r="H103">
        <v>1</v>
      </c>
      <c r="I103">
        <v>1</v>
      </c>
      <c r="J103">
        <v>0</v>
      </c>
      <c r="K103">
        <v>1</v>
      </c>
      <c r="L103">
        <v>1</v>
      </c>
      <c r="M103">
        <v>1</v>
      </c>
      <c r="N103">
        <v>1</v>
      </c>
      <c r="O103">
        <v>1</v>
      </c>
      <c r="P103" t="s">
        <v>504</v>
      </c>
    </row>
    <row r="104" spans="1:16" x14ac:dyDescent="0.25">
      <c r="A104" t="s">
        <v>92</v>
      </c>
      <c r="B104" t="s">
        <v>122</v>
      </c>
      <c r="C104">
        <v>0</v>
      </c>
      <c r="D104">
        <v>4.3893659114837646</v>
      </c>
      <c r="E104">
        <v>1</v>
      </c>
      <c r="F104">
        <v>1</v>
      </c>
      <c r="G104">
        <v>1</v>
      </c>
      <c r="H104">
        <v>1</v>
      </c>
      <c r="I104">
        <v>1</v>
      </c>
      <c r="J104">
        <v>0</v>
      </c>
      <c r="K104">
        <v>1</v>
      </c>
      <c r="L104">
        <v>1</v>
      </c>
      <c r="M104">
        <v>1</v>
      </c>
      <c r="N104">
        <v>1</v>
      </c>
      <c r="O104">
        <v>1</v>
      </c>
      <c r="P104" t="s">
        <v>505</v>
      </c>
    </row>
    <row r="105" spans="1:16" x14ac:dyDescent="0.25">
      <c r="A105" t="s">
        <v>92</v>
      </c>
      <c r="B105" t="s">
        <v>124</v>
      </c>
      <c r="C105">
        <v>0</v>
      </c>
      <c r="D105">
        <v>4.5508575439453116</v>
      </c>
      <c r="E105">
        <v>1</v>
      </c>
      <c r="F105">
        <v>1</v>
      </c>
      <c r="G105">
        <v>1</v>
      </c>
      <c r="H105">
        <v>1</v>
      </c>
      <c r="I105">
        <v>1</v>
      </c>
      <c r="J105">
        <v>0</v>
      </c>
      <c r="K105">
        <v>1</v>
      </c>
      <c r="L105">
        <v>1</v>
      </c>
      <c r="M105">
        <v>1</v>
      </c>
      <c r="N105">
        <v>1</v>
      </c>
      <c r="O105">
        <v>1</v>
      </c>
      <c r="P105" t="s">
        <v>506</v>
      </c>
    </row>
    <row r="106" spans="1:16" x14ac:dyDescent="0.25">
      <c r="A106" t="s">
        <v>92</v>
      </c>
      <c r="B106" t="s">
        <v>126</v>
      </c>
      <c r="C106">
        <v>0</v>
      </c>
      <c r="D106">
        <v>12.009115695953369</v>
      </c>
      <c r="E106">
        <v>0</v>
      </c>
      <c r="F106" t="s">
        <v>22</v>
      </c>
      <c r="G106" t="s">
        <v>22</v>
      </c>
      <c r="H106" t="s">
        <v>22</v>
      </c>
      <c r="I106" t="s">
        <v>22</v>
      </c>
      <c r="J106" t="s">
        <v>22</v>
      </c>
      <c r="K106" t="s">
        <v>22</v>
      </c>
      <c r="L106" t="s">
        <v>22</v>
      </c>
      <c r="M106" t="s">
        <v>22</v>
      </c>
      <c r="N106" t="s">
        <v>22</v>
      </c>
      <c r="O106" t="s">
        <v>22</v>
      </c>
      <c r="P106" t="s">
        <v>507</v>
      </c>
    </row>
    <row r="107" spans="1:16" x14ac:dyDescent="0.25">
      <c r="A107" t="s">
        <v>92</v>
      </c>
      <c r="B107" t="s">
        <v>128</v>
      </c>
      <c r="C107">
        <v>0</v>
      </c>
      <c r="D107">
        <v>12.79688787460327</v>
      </c>
      <c r="E107">
        <v>0</v>
      </c>
      <c r="F107" t="s">
        <v>22</v>
      </c>
      <c r="G107" t="s">
        <v>22</v>
      </c>
      <c r="H107" t="s">
        <v>22</v>
      </c>
      <c r="I107" t="s">
        <v>22</v>
      </c>
      <c r="J107" t="s">
        <v>22</v>
      </c>
      <c r="K107" t="s">
        <v>22</v>
      </c>
      <c r="L107" t="s">
        <v>22</v>
      </c>
      <c r="M107" t="s">
        <v>22</v>
      </c>
      <c r="N107" t="s">
        <v>22</v>
      </c>
      <c r="O107" t="s">
        <v>22</v>
      </c>
      <c r="P107" t="s">
        <v>508</v>
      </c>
    </row>
    <row r="108" spans="1:16" x14ac:dyDescent="0.25">
      <c r="A108" t="s">
        <v>92</v>
      </c>
      <c r="B108" t="s">
        <v>130</v>
      </c>
      <c r="C108">
        <v>0</v>
      </c>
      <c r="D108">
        <v>12.98440909385681</v>
      </c>
      <c r="E108">
        <v>1</v>
      </c>
      <c r="F108">
        <v>1</v>
      </c>
      <c r="G108">
        <v>1</v>
      </c>
      <c r="H108">
        <v>1</v>
      </c>
      <c r="I108">
        <v>1</v>
      </c>
      <c r="J108">
        <v>0</v>
      </c>
      <c r="K108">
        <v>1</v>
      </c>
      <c r="L108">
        <v>1</v>
      </c>
      <c r="M108">
        <v>1</v>
      </c>
      <c r="N108">
        <v>1</v>
      </c>
      <c r="O108">
        <v>1</v>
      </c>
      <c r="P108" t="s">
        <v>509</v>
      </c>
    </row>
    <row r="109" spans="1:16" x14ac:dyDescent="0.25">
      <c r="A109" t="s">
        <v>92</v>
      </c>
      <c r="B109" t="s">
        <v>131</v>
      </c>
      <c r="C109">
        <v>0</v>
      </c>
      <c r="D109">
        <v>4.3948986530303964</v>
      </c>
      <c r="E109">
        <v>1</v>
      </c>
      <c r="F109">
        <v>1</v>
      </c>
      <c r="G109">
        <v>1</v>
      </c>
      <c r="H109">
        <v>1</v>
      </c>
      <c r="I109">
        <v>1</v>
      </c>
      <c r="J109">
        <v>0</v>
      </c>
      <c r="K109">
        <v>1</v>
      </c>
      <c r="L109">
        <v>1</v>
      </c>
      <c r="M109">
        <v>1</v>
      </c>
      <c r="N109">
        <v>1</v>
      </c>
      <c r="O109">
        <v>1</v>
      </c>
      <c r="P109" t="s">
        <v>510</v>
      </c>
    </row>
    <row r="110" spans="1:16" x14ac:dyDescent="0.25">
      <c r="A110" t="s">
        <v>92</v>
      </c>
      <c r="B110" t="s">
        <v>133</v>
      </c>
      <c r="C110">
        <v>0</v>
      </c>
      <c r="D110">
        <v>11.552912473678591</v>
      </c>
      <c r="E110">
        <v>1</v>
      </c>
      <c r="F110">
        <v>1</v>
      </c>
      <c r="G110">
        <v>1</v>
      </c>
      <c r="H110">
        <v>1</v>
      </c>
      <c r="I110">
        <v>1</v>
      </c>
      <c r="J110">
        <v>1</v>
      </c>
      <c r="K110">
        <v>1</v>
      </c>
      <c r="L110">
        <v>1</v>
      </c>
      <c r="M110">
        <v>1</v>
      </c>
      <c r="N110">
        <v>1</v>
      </c>
      <c r="O110">
        <v>1</v>
      </c>
    </row>
    <row r="111" spans="1:16" x14ac:dyDescent="0.25">
      <c r="A111" t="s">
        <v>92</v>
      </c>
      <c r="B111" t="s">
        <v>135</v>
      </c>
      <c r="C111">
        <v>0</v>
      </c>
      <c r="D111">
        <v>6.5544965267181396</v>
      </c>
      <c r="E111">
        <v>0</v>
      </c>
      <c r="F111" t="s">
        <v>22</v>
      </c>
      <c r="G111" t="s">
        <v>22</v>
      </c>
      <c r="H111" t="s">
        <v>22</v>
      </c>
      <c r="I111" t="s">
        <v>22</v>
      </c>
      <c r="J111" t="s">
        <v>22</v>
      </c>
      <c r="K111" t="s">
        <v>22</v>
      </c>
      <c r="L111" t="s">
        <v>22</v>
      </c>
      <c r="M111" t="s">
        <v>22</v>
      </c>
      <c r="N111" t="s">
        <v>22</v>
      </c>
      <c r="O111" t="s">
        <v>22</v>
      </c>
      <c r="P111" t="s">
        <v>511</v>
      </c>
    </row>
    <row r="112" spans="1:16" x14ac:dyDescent="0.25">
      <c r="A112" t="s">
        <v>92</v>
      </c>
      <c r="B112" t="s">
        <v>137</v>
      </c>
      <c r="C112">
        <v>0</v>
      </c>
      <c r="D112">
        <v>2.9543757438659668</v>
      </c>
      <c r="E112">
        <v>1</v>
      </c>
      <c r="F112">
        <v>1</v>
      </c>
      <c r="G112">
        <v>1</v>
      </c>
      <c r="H112">
        <v>1</v>
      </c>
      <c r="I112">
        <v>1</v>
      </c>
      <c r="J112">
        <v>1</v>
      </c>
      <c r="K112">
        <v>1</v>
      </c>
      <c r="L112">
        <v>1</v>
      </c>
      <c r="M112">
        <v>1</v>
      </c>
      <c r="N112">
        <v>1</v>
      </c>
      <c r="O112">
        <v>1</v>
      </c>
    </row>
    <row r="113" spans="1:16" x14ac:dyDescent="0.25">
      <c r="A113" t="s">
        <v>92</v>
      </c>
      <c r="B113" t="s">
        <v>138</v>
      </c>
      <c r="C113">
        <v>0</v>
      </c>
      <c r="D113">
        <v>5.1121490001678467</v>
      </c>
      <c r="E113">
        <v>1</v>
      </c>
      <c r="F113">
        <v>1</v>
      </c>
      <c r="G113">
        <v>1</v>
      </c>
      <c r="H113">
        <v>1</v>
      </c>
      <c r="I113">
        <v>1</v>
      </c>
      <c r="J113">
        <v>0</v>
      </c>
      <c r="K113">
        <v>1</v>
      </c>
      <c r="L113">
        <v>1</v>
      </c>
      <c r="M113">
        <v>1</v>
      </c>
      <c r="N113">
        <v>1</v>
      </c>
      <c r="O113">
        <v>1</v>
      </c>
      <c r="P113" t="s">
        <v>512</v>
      </c>
    </row>
    <row r="114" spans="1:16" x14ac:dyDescent="0.25">
      <c r="A114" t="s">
        <v>140</v>
      </c>
      <c r="B114" t="s">
        <v>17</v>
      </c>
      <c r="C114">
        <v>0</v>
      </c>
      <c r="D114">
        <v>2.8906033039093022</v>
      </c>
      <c r="E114">
        <v>1</v>
      </c>
      <c r="F114">
        <v>1</v>
      </c>
      <c r="G114">
        <v>1</v>
      </c>
      <c r="H114">
        <v>1</v>
      </c>
      <c r="I114">
        <v>1</v>
      </c>
      <c r="J114">
        <v>1</v>
      </c>
      <c r="K114">
        <v>1</v>
      </c>
      <c r="L114">
        <v>1</v>
      </c>
      <c r="M114">
        <v>1</v>
      </c>
      <c r="N114">
        <v>1</v>
      </c>
      <c r="O114">
        <v>1</v>
      </c>
    </row>
    <row r="115" spans="1:16" x14ac:dyDescent="0.25">
      <c r="A115" t="s">
        <v>140</v>
      </c>
      <c r="B115" t="s">
        <v>19</v>
      </c>
      <c r="C115">
        <v>0</v>
      </c>
      <c r="D115">
        <v>9.585864782333374</v>
      </c>
      <c r="E115">
        <v>1</v>
      </c>
      <c r="F115">
        <v>1</v>
      </c>
      <c r="G115">
        <v>1</v>
      </c>
      <c r="H115">
        <v>1</v>
      </c>
      <c r="I115">
        <v>1</v>
      </c>
      <c r="J115">
        <v>1</v>
      </c>
      <c r="K115">
        <v>1</v>
      </c>
      <c r="L115">
        <v>1</v>
      </c>
      <c r="M115">
        <v>1</v>
      </c>
      <c r="N115">
        <v>1</v>
      </c>
      <c r="O115">
        <v>1</v>
      </c>
    </row>
    <row r="116" spans="1:16" x14ac:dyDescent="0.25">
      <c r="A116" t="s">
        <v>140</v>
      </c>
      <c r="B116" t="s">
        <v>20</v>
      </c>
      <c r="C116">
        <v>0</v>
      </c>
      <c r="D116">
        <v>10.011415958404539</v>
      </c>
      <c r="E116">
        <v>1</v>
      </c>
      <c r="F116">
        <v>1</v>
      </c>
      <c r="G116">
        <v>1</v>
      </c>
      <c r="H116">
        <v>1</v>
      </c>
      <c r="I116">
        <v>1</v>
      </c>
      <c r="J116">
        <v>1</v>
      </c>
      <c r="K116">
        <v>0</v>
      </c>
      <c r="L116">
        <v>1</v>
      </c>
      <c r="M116">
        <v>1</v>
      </c>
      <c r="N116">
        <v>1</v>
      </c>
      <c r="O116">
        <v>1</v>
      </c>
      <c r="P116" t="s">
        <v>513</v>
      </c>
    </row>
    <row r="117" spans="1:16" x14ac:dyDescent="0.25">
      <c r="A117" t="s">
        <v>140</v>
      </c>
      <c r="B117" t="s">
        <v>21</v>
      </c>
      <c r="C117">
        <v>0</v>
      </c>
      <c r="D117">
        <v>3.056660413742065</v>
      </c>
      <c r="E117">
        <v>1</v>
      </c>
      <c r="F117">
        <v>1</v>
      </c>
      <c r="G117">
        <v>1</v>
      </c>
      <c r="H117">
        <v>1</v>
      </c>
      <c r="I117">
        <v>1</v>
      </c>
      <c r="J117">
        <v>1</v>
      </c>
      <c r="K117">
        <v>1</v>
      </c>
      <c r="L117">
        <v>1</v>
      </c>
      <c r="M117">
        <v>1</v>
      </c>
      <c r="N117">
        <v>1</v>
      </c>
      <c r="O117">
        <v>1</v>
      </c>
    </row>
    <row r="118" spans="1:16" x14ac:dyDescent="0.25">
      <c r="A118" t="s">
        <v>140</v>
      </c>
      <c r="B118" t="s">
        <v>24</v>
      </c>
      <c r="C118">
        <v>0</v>
      </c>
      <c r="D118">
        <v>4.9001142978668213</v>
      </c>
      <c r="E118">
        <v>1</v>
      </c>
      <c r="F118">
        <v>1</v>
      </c>
      <c r="G118">
        <v>0</v>
      </c>
      <c r="H118" t="s">
        <v>22</v>
      </c>
      <c r="I118">
        <v>1</v>
      </c>
      <c r="J118">
        <v>1</v>
      </c>
      <c r="K118">
        <v>1</v>
      </c>
      <c r="L118">
        <v>1</v>
      </c>
      <c r="M118">
        <v>1</v>
      </c>
      <c r="N118">
        <v>1</v>
      </c>
      <c r="O118">
        <v>1</v>
      </c>
      <c r="P118" t="s">
        <v>514</v>
      </c>
    </row>
    <row r="119" spans="1:16" x14ac:dyDescent="0.25">
      <c r="A119" t="s">
        <v>140</v>
      </c>
      <c r="B119" t="s">
        <v>25</v>
      </c>
      <c r="C119">
        <v>0</v>
      </c>
      <c r="D119">
        <v>11.7631242275238</v>
      </c>
      <c r="E119">
        <v>1</v>
      </c>
      <c r="F119">
        <v>0</v>
      </c>
      <c r="G119">
        <v>1</v>
      </c>
      <c r="H119" t="s">
        <v>22</v>
      </c>
      <c r="I119">
        <v>1</v>
      </c>
      <c r="J119" t="s">
        <v>22</v>
      </c>
      <c r="K119">
        <v>1</v>
      </c>
      <c r="L119">
        <v>1</v>
      </c>
      <c r="M119">
        <v>0</v>
      </c>
      <c r="N119">
        <v>1</v>
      </c>
      <c r="O119">
        <v>1</v>
      </c>
      <c r="P119" t="s">
        <v>515</v>
      </c>
    </row>
    <row r="120" spans="1:16" x14ac:dyDescent="0.25">
      <c r="A120" t="s">
        <v>140</v>
      </c>
      <c r="B120" t="s">
        <v>26</v>
      </c>
      <c r="C120">
        <v>0</v>
      </c>
      <c r="D120">
        <v>7.1591958999633789</v>
      </c>
      <c r="E120">
        <v>1</v>
      </c>
      <c r="F120">
        <v>1</v>
      </c>
      <c r="G120">
        <v>0</v>
      </c>
      <c r="H120" t="s">
        <v>22</v>
      </c>
      <c r="I120">
        <v>1</v>
      </c>
      <c r="J120">
        <v>1</v>
      </c>
      <c r="K120">
        <v>1</v>
      </c>
      <c r="L120">
        <v>1</v>
      </c>
      <c r="M120">
        <v>1</v>
      </c>
      <c r="N120">
        <v>1</v>
      </c>
      <c r="O120">
        <v>1</v>
      </c>
      <c r="P120" t="s">
        <v>516</v>
      </c>
    </row>
    <row r="121" spans="1:16" x14ac:dyDescent="0.25">
      <c r="A121" t="s">
        <v>140</v>
      </c>
      <c r="B121" t="s">
        <v>27</v>
      </c>
      <c r="C121">
        <v>0</v>
      </c>
      <c r="D121">
        <v>2.9150197505950932</v>
      </c>
      <c r="E121">
        <v>1</v>
      </c>
      <c r="F121">
        <v>1</v>
      </c>
      <c r="G121">
        <v>1</v>
      </c>
      <c r="H121">
        <v>1</v>
      </c>
      <c r="I121">
        <v>1</v>
      </c>
      <c r="J121">
        <v>1</v>
      </c>
      <c r="K121">
        <v>1</v>
      </c>
      <c r="L121">
        <v>1</v>
      </c>
      <c r="M121">
        <v>1</v>
      </c>
      <c r="N121">
        <v>1</v>
      </c>
      <c r="O121">
        <v>1</v>
      </c>
    </row>
    <row r="122" spans="1:16" x14ac:dyDescent="0.25">
      <c r="A122" t="s">
        <v>140</v>
      </c>
      <c r="B122" t="s">
        <v>28</v>
      </c>
      <c r="C122">
        <v>0</v>
      </c>
      <c r="D122">
        <v>7.61073899269104</v>
      </c>
      <c r="E122">
        <v>1</v>
      </c>
      <c r="F122">
        <v>1</v>
      </c>
      <c r="G122">
        <v>1</v>
      </c>
      <c r="H122">
        <v>1</v>
      </c>
      <c r="I122">
        <v>1</v>
      </c>
      <c r="J122">
        <v>1</v>
      </c>
      <c r="K122">
        <v>1</v>
      </c>
      <c r="L122">
        <v>0</v>
      </c>
      <c r="M122">
        <v>1</v>
      </c>
      <c r="N122">
        <v>1</v>
      </c>
      <c r="O122">
        <v>1</v>
      </c>
      <c r="P122" t="s">
        <v>517</v>
      </c>
    </row>
    <row r="123" spans="1:16" x14ac:dyDescent="0.25">
      <c r="A123" t="s">
        <v>140</v>
      </c>
      <c r="B123" t="s">
        <v>29</v>
      </c>
      <c r="C123">
        <v>0</v>
      </c>
      <c r="D123">
        <v>9.5013778209686279</v>
      </c>
      <c r="E123">
        <v>1</v>
      </c>
      <c r="F123">
        <v>1</v>
      </c>
      <c r="G123">
        <v>1</v>
      </c>
      <c r="H123">
        <v>1</v>
      </c>
      <c r="I123">
        <v>1</v>
      </c>
      <c r="J123">
        <v>1</v>
      </c>
      <c r="K123">
        <v>1</v>
      </c>
      <c r="L123">
        <v>1</v>
      </c>
      <c r="M123">
        <v>1</v>
      </c>
      <c r="N123">
        <v>1</v>
      </c>
      <c r="O123">
        <v>1</v>
      </c>
    </row>
    <row r="124" spans="1:16" x14ac:dyDescent="0.25">
      <c r="A124" t="s">
        <v>140</v>
      </c>
      <c r="B124" t="s">
        <v>30</v>
      </c>
      <c r="C124">
        <v>0</v>
      </c>
      <c r="D124">
        <v>12.99180436134338</v>
      </c>
      <c r="E124">
        <v>1</v>
      </c>
      <c r="F124">
        <v>0</v>
      </c>
      <c r="G124">
        <v>1</v>
      </c>
      <c r="H124" t="s">
        <v>22</v>
      </c>
      <c r="I124">
        <v>1</v>
      </c>
      <c r="J124" t="s">
        <v>22</v>
      </c>
      <c r="K124">
        <v>1</v>
      </c>
      <c r="L124">
        <v>1</v>
      </c>
      <c r="M124">
        <v>1</v>
      </c>
      <c r="N124">
        <v>1</v>
      </c>
      <c r="O124">
        <v>1</v>
      </c>
      <c r="P124" t="s">
        <v>518</v>
      </c>
    </row>
    <row r="125" spans="1:16" x14ac:dyDescent="0.25">
      <c r="A125" t="s">
        <v>140</v>
      </c>
      <c r="B125" t="s">
        <v>32</v>
      </c>
      <c r="C125">
        <v>0</v>
      </c>
      <c r="D125">
        <v>9.2129335403442383</v>
      </c>
      <c r="E125">
        <v>1</v>
      </c>
      <c r="F125">
        <v>1</v>
      </c>
      <c r="G125">
        <v>1</v>
      </c>
      <c r="H125">
        <v>1</v>
      </c>
      <c r="I125">
        <v>1</v>
      </c>
      <c r="J125">
        <v>1</v>
      </c>
      <c r="K125">
        <v>1</v>
      </c>
      <c r="L125">
        <v>1</v>
      </c>
      <c r="M125">
        <v>1</v>
      </c>
      <c r="N125">
        <v>1</v>
      </c>
      <c r="O125">
        <v>1</v>
      </c>
    </row>
    <row r="126" spans="1:16" x14ac:dyDescent="0.25">
      <c r="A126" t="s">
        <v>140</v>
      </c>
      <c r="B126" t="s">
        <v>33</v>
      </c>
      <c r="C126">
        <v>0</v>
      </c>
      <c r="D126">
        <v>6.4310729503631592</v>
      </c>
      <c r="E126">
        <v>1</v>
      </c>
      <c r="F126">
        <v>1</v>
      </c>
      <c r="G126">
        <v>1</v>
      </c>
      <c r="H126">
        <v>1</v>
      </c>
      <c r="I126">
        <v>1</v>
      </c>
      <c r="J126">
        <v>1</v>
      </c>
      <c r="K126">
        <v>1</v>
      </c>
      <c r="L126">
        <v>1</v>
      </c>
      <c r="M126">
        <v>1</v>
      </c>
      <c r="N126">
        <v>1</v>
      </c>
      <c r="O126">
        <v>1</v>
      </c>
    </row>
    <row r="127" spans="1:16" x14ac:dyDescent="0.25">
      <c r="A127" t="s">
        <v>140</v>
      </c>
      <c r="B127" t="s">
        <v>35</v>
      </c>
      <c r="C127">
        <v>0</v>
      </c>
      <c r="D127">
        <v>3.0713033676147461</v>
      </c>
      <c r="E127">
        <v>1</v>
      </c>
      <c r="F127">
        <v>1</v>
      </c>
      <c r="G127">
        <v>1</v>
      </c>
      <c r="H127">
        <v>1</v>
      </c>
      <c r="I127">
        <v>1</v>
      </c>
      <c r="J127">
        <v>1</v>
      </c>
      <c r="K127">
        <v>1</v>
      </c>
      <c r="L127">
        <v>1</v>
      </c>
      <c r="M127">
        <v>1</v>
      </c>
      <c r="N127">
        <v>1</v>
      </c>
      <c r="O127">
        <v>1</v>
      </c>
    </row>
    <row r="128" spans="1:16" x14ac:dyDescent="0.25">
      <c r="A128" t="s">
        <v>140</v>
      </c>
      <c r="B128" t="s">
        <v>36</v>
      </c>
      <c r="C128">
        <v>0</v>
      </c>
      <c r="D128">
        <v>10.02225399017334</v>
      </c>
      <c r="E128">
        <v>1</v>
      </c>
      <c r="F128">
        <v>1</v>
      </c>
      <c r="G128">
        <v>1</v>
      </c>
      <c r="H128">
        <v>1</v>
      </c>
      <c r="I128">
        <v>1</v>
      </c>
      <c r="J128">
        <v>1</v>
      </c>
      <c r="K128">
        <v>1</v>
      </c>
      <c r="L128">
        <v>1</v>
      </c>
      <c r="M128">
        <v>1</v>
      </c>
      <c r="N128">
        <v>1</v>
      </c>
      <c r="O128">
        <v>1</v>
      </c>
    </row>
    <row r="129" spans="1:16" x14ac:dyDescent="0.25">
      <c r="A129" t="s">
        <v>140</v>
      </c>
      <c r="B129" t="s">
        <v>38</v>
      </c>
      <c r="C129">
        <v>0</v>
      </c>
      <c r="D129">
        <v>2.942552804946899</v>
      </c>
      <c r="E129">
        <v>1</v>
      </c>
      <c r="F129">
        <v>1</v>
      </c>
      <c r="G129">
        <v>1</v>
      </c>
      <c r="H129">
        <v>1</v>
      </c>
      <c r="I129">
        <v>1</v>
      </c>
      <c r="J129">
        <v>1</v>
      </c>
      <c r="K129">
        <v>1</v>
      </c>
      <c r="L129">
        <v>1</v>
      </c>
      <c r="M129">
        <v>1</v>
      </c>
      <c r="N129">
        <v>1</v>
      </c>
      <c r="O129">
        <v>1</v>
      </c>
    </row>
    <row r="130" spans="1:16" x14ac:dyDescent="0.25">
      <c r="A130" t="s">
        <v>140</v>
      </c>
      <c r="B130" t="s">
        <v>39</v>
      </c>
      <c r="C130">
        <v>0</v>
      </c>
      <c r="D130">
        <v>10.743939638137819</v>
      </c>
      <c r="E130">
        <v>1</v>
      </c>
      <c r="F130">
        <v>1</v>
      </c>
      <c r="G130">
        <v>1</v>
      </c>
      <c r="H130">
        <v>1</v>
      </c>
      <c r="I130">
        <v>1</v>
      </c>
      <c r="J130">
        <v>1</v>
      </c>
      <c r="K130">
        <v>1</v>
      </c>
      <c r="L130">
        <v>1</v>
      </c>
      <c r="M130">
        <v>1</v>
      </c>
      <c r="N130">
        <v>1</v>
      </c>
      <c r="O130">
        <v>1</v>
      </c>
    </row>
    <row r="131" spans="1:16" x14ac:dyDescent="0.25">
      <c r="A131" t="s">
        <v>140</v>
      </c>
      <c r="B131" t="s">
        <v>40</v>
      </c>
      <c r="C131">
        <v>0</v>
      </c>
      <c r="D131">
        <v>2.848035573959351</v>
      </c>
      <c r="E131">
        <v>1</v>
      </c>
      <c r="F131">
        <v>1</v>
      </c>
      <c r="G131">
        <v>1</v>
      </c>
      <c r="H131">
        <v>1</v>
      </c>
      <c r="I131">
        <v>1</v>
      </c>
      <c r="J131">
        <v>1</v>
      </c>
      <c r="K131">
        <v>1</v>
      </c>
      <c r="L131">
        <v>1</v>
      </c>
      <c r="M131">
        <v>1</v>
      </c>
      <c r="N131">
        <v>1</v>
      </c>
      <c r="O131">
        <v>1</v>
      </c>
    </row>
    <row r="132" spans="1:16" x14ac:dyDescent="0.25">
      <c r="A132" t="s">
        <v>140</v>
      </c>
      <c r="B132" t="s">
        <v>41</v>
      </c>
      <c r="C132">
        <v>0</v>
      </c>
      <c r="D132">
        <v>10.50787782669067</v>
      </c>
      <c r="E132">
        <v>1</v>
      </c>
      <c r="F132">
        <v>1</v>
      </c>
      <c r="G132">
        <v>1</v>
      </c>
      <c r="H132">
        <v>1</v>
      </c>
      <c r="I132">
        <v>1</v>
      </c>
      <c r="J132">
        <v>1</v>
      </c>
      <c r="K132">
        <v>1</v>
      </c>
      <c r="L132">
        <v>1</v>
      </c>
      <c r="M132">
        <v>1</v>
      </c>
      <c r="N132">
        <v>1</v>
      </c>
      <c r="O132">
        <v>1</v>
      </c>
    </row>
    <row r="133" spans="1:16" x14ac:dyDescent="0.25">
      <c r="A133" t="s">
        <v>140</v>
      </c>
      <c r="B133" t="s">
        <v>43</v>
      </c>
      <c r="C133">
        <v>0</v>
      </c>
      <c r="D133">
        <v>9.9494166374206543</v>
      </c>
      <c r="E133">
        <v>1</v>
      </c>
      <c r="F133">
        <v>1</v>
      </c>
      <c r="G133">
        <v>1</v>
      </c>
      <c r="H133">
        <v>1</v>
      </c>
      <c r="I133">
        <v>1</v>
      </c>
      <c r="J133">
        <v>1</v>
      </c>
      <c r="K133">
        <v>1</v>
      </c>
      <c r="L133">
        <v>1</v>
      </c>
      <c r="M133">
        <v>1</v>
      </c>
      <c r="N133">
        <v>1</v>
      </c>
      <c r="O133">
        <v>1</v>
      </c>
    </row>
    <row r="134" spans="1:16" x14ac:dyDescent="0.25">
      <c r="A134" t="s">
        <v>140</v>
      </c>
      <c r="B134" t="s">
        <v>44</v>
      </c>
      <c r="C134">
        <v>0</v>
      </c>
      <c r="D134">
        <v>6.1055994033813477</v>
      </c>
      <c r="E134">
        <v>0</v>
      </c>
      <c r="F134" t="s">
        <v>22</v>
      </c>
      <c r="G134" t="s">
        <v>22</v>
      </c>
      <c r="H134" t="s">
        <v>22</v>
      </c>
      <c r="I134" t="s">
        <v>22</v>
      </c>
      <c r="J134" t="s">
        <v>22</v>
      </c>
      <c r="K134" t="s">
        <v>22</v>
      </c>
      <c r="L134" t="s">
        <v>22</v>
      </c>
      <c r="M134" t="s">
        <v>22</v>
      </c>
      <c r="N134" t="s">
        <v>22</v>
      </c>
      <c r="O134" t="s">
        <v>22</v>
      </c>
      <c r="P134" t="s">
        <v>519</v>
      </c>
    </row>
    <row r="135" spans="1:16" x14ac:dyDescent="0.25">
      <c r="A135" t="s">
        <v>140</v>
      </c>
      <c r="B135" t="s">
        <v>45</v>
      </c>
      <c r="C135">
        <v>0</v>
      </c>
      <c r="D135">
        <v>5.135141134262085</v>
      </c>
      <c r="E135">
        <v>1</v>
      </c>
      <c r="F135">
        <v>1</v>
      </c>
      <c r="G135">
        <v>1</v>
      </c>
      <c r="H135">
        <v>1</v>
      </c>
      <c r="I135">
        <v>1</v>
      </c>
      <c r="J135">
        <v>1</v>
      </c>
      <c r="K135">
        <v>0</v>
      </c>
      <c r="L135">
        <v>1</v>
      </c>
      <c r="M135">
        <v>1</v>
      </c>
      <c r="N135">
        <v>1</v>
      </c>
      <c r="O135">
        <v>1</v>
      </c>
      <c r="P135" t="s">
        <v>520</v>
      </c>
    </row>
    <row r="136" spans="1:16" x14ac:dyDescent="0.25">
      <c r="A136" t="s">
        <v>140</v>
      </c>
      <c r="B136" t="s">
        <v>46</v>
      </c>
      <c r="C136">
        <v>0</v>
      </c>
      <c r="D136">
        <v>8.9798028469085693</v>
      </c>
      <c r="E136">
        <v>1</v>
      </c>
      <c r="F136">
        <v>1</v>
      </c>
      <c r="G136">
        <v>1</v>
      </c>
      <c r="H136">
        <v>1</v>
      </c>
      <c r="I136">
        <v>1</v>
      </c>
      <c r="J136">
        <v>1</v>
      </c>
      <c r="K136">
        <v>1</v>
      </c>
      <c r="L136">
        <v>1</v>
      </c>
      <c r="M136">
        <v>1</v>
      </c>
      <c r="N136">
        <v>1</v>
      </c>
      <c r="O136">
        <v>1</v>
      </c>
    </row>
    <row r="137" spans="1:16" x14ac:dyDescent="0.25">
      <c r="A137" t="s">
        <v>140</v>
      </c>
      <c r="B137" t="s">
        <v>47</v>
      </c>
      <c r="C137">
        <v>0</v>
      </c>
      <c r="D137">
        <v>5.9271082878112793</v>
      </c>
      <c r="E137">
        <v>0</v>
      </c>
      <c r="F137" t="s">
        <v>22</v>
      </c>
      <c r="G137" t="s">
        <v>22</v>
      </c>
      <c r="H137" t="s">
        <v>22</v>
      </c>
      <c r="I137" t="s">
        <v>22</v>
      </c>
      <c r="J137" t="s">
        <v>22</v>
      </c>
      <c r="K137" t="s">
        <v>22</v>
      </c>
      <c r="L137" t="s">
        <v>22</v>
      </c>
      <c r="M137" t="s">
        <v>22</v>
      </c>
      <c r="N137" t="s">
        <v>22</v>
      </c>
      <c r="O137" t="s">
        <v>22</v>
      </c>
      <c r="P137" t="s">
        <v>521</v>
      </c>
    </row>
    <row r="138" spans="1:16" x14ac:dyDescent="0.25">
      <c r="A138" t="s">
        <v>140</v>
      </c>
      <c r="B138" t="s">
        <v>48</v>
      </c>
      <c r="C138">
        <v>0</v>
      </c>
      <c r="D138">
        <v>9.4106009006500244</v>
      </c>
      <c r="E138">
        <v>1</v>
      </c>
      <c r="F138">
        <v>1</v>
      </c>
      <c r="G138">
        <v>1</v>
      </c>
      <c r="H138">
        <v>1</v>
      </c>
      <c r="I138">
        <v>1</v>
      </c>
      <c r="J138">
        <v>1</v>
      </c>
      <c r="K138">
        <v>1</v>
      </c>
      <c r="L138">
        <v>1</v>
      </c>
      <c r="M138">
        <v>1</v>
      </c>
      <c r="N138">
        <v>1</v>
      </c>
      <c r="O138">
        <v>1</v>
      </c>
    </row>
    <row r="139" spans="1:16" x14ac:dyDescent="0.25">
      <c r="A139" t="s">
        <v>140</v>
      </c>
      <c r="B139" t="s">
        <v>49</v>
      </c>
      <c r="C139">
        <v>0</v>
      </c>
      <c r="D139">
        <v>8.37131667137146</v>
      </c>
      <c r="E139">
        <v>0</v>
      </c>
      <c r="F139" t="s">
        <v>22</v>
      </c>
      <c r="G139" t="s">
        <v>22</v>
      </c>
      <c r="H139" t="s">
        <v>22</v>
      </c>
      <c r="I139" t="s">
        <v>22</v>
      </c>
      <c r="J139" t="s">
        <v>22</v>
      </c>
      <c r="K139" t="s">
        <v>22</v>
      </c>
      <c r="L139" t="s">
        <v>22</v>
      </c>
      <c r="M139" t="s">
        <v>22</v>
      </c>
      <c r="N139" t="s">
        <v>22</v>
      </c>
      <c r="O139" t="s">
        <v>22</v>
      </c>
      <c r="P139" t="s">
        <v>522</v>
      </c>
    </row>
    <row r="140" spans="1:16" x14ac:dyDescent="0.25">
      <c r="A140" t="s">
        <v>140</v>
      </c>
      <c r="B140" t="s">
        <v>51</v>
      </c>
      <c r="C140">
        <v>0</v>
      </c>
      <c r="D140">
        <v>9.5408947467803955</v>
      </c>
      <c r="E140">
        <v>1</v>
      </c>
      <c r="F140">
        <v>0</v>
      </c>
      <c r="G140">
        <v>1</v>
      </c>
      <c r="H140" t="s">
        <v>22</v>
      </c>
      <c r="I140">
        <v>1</v>
      </c>
      <c r="J140" t="s">
        <v>22</v>
      </c>
      <c r="K140">
        <v>1</v>
      </c>
      <c r="L140">
        <v>1</v>
      </c>
      <c r="M140">
        <v>1</v>
      </c>
      <c r="N140">
        <v>1</v>
      </c>
      <c r="O140">
        <v>1</v>
      </c>
      <c r="P140" t="s">
        <v>523</v>
      </c>
    </row>
    <row r="141" spans="1:16" x14ac:dyDescent="0.25">
      <c r="A141" t="s">
        <v>140</v>
      </c>
      <c r="B141" t="s">
        <v>53</v>
      </c>
      <c r="C141">
        <v>0</v>
      </c>
      <c r="D141">
        <v>7.5418715476989746</v>
      </c>
      <c r="E141">
        <v>1</v>
      </c>
      <c r="F141">
        <v>1</v>
      </c>
      <c r="G141">
        <v>1</v>
      </c>
      <c r="H141">
        <v>1</v>
      </c>
      <c r="I141">
        <v>1</v>
      </c>
      <c r="J141">
        <v>1</v>
      </c>
      <c r="K141">
        <v>1</v>
      </c>
      <c r="L141">
        <v>1</v>
      </c>
      <c r="M141">
        <v>1</v>
      </c>
      <c r="N141">
        <v>1</v>
      </c>
      <c r="O141">
        <v>1</v>
      </c>
    </row>
    <row r="142" spans="1:16" x14ac:dyDescent="0.25">
      <c r="A142" t="s">
        <v>140</v>
      </c>
      <c r="B142" t="s">
        <v>54</v>
      </c>
      <c r="C142">
        <v>0</v>
      </c>
      <c r="D142">
        <v>6.3291704654693604</v>
      </c>
      <c r="E142">
        <v>1</v>
      </c>
      <c r="F142">
        <v>1</v>
      </c>
      <c r="G142">
        <v>1</v>
      </c>
      <c r="H142">
        <v>1</v>
      </c>
      <c r="I142">
        <v>1</v>
      </c>
      <c r="J142">
        <v>1</v>
      </c>
      <c r="K142">
        <v>1</v>
      </c>
      <c r="L142">
        <v>1</v>
      </c>
      <c r="M142">
        <v>1</v>
      </c>
      <c r="N142">
        <v>1</v>
      </c>
      <c r="O142">
        <v>1</v>
      </c>
    </row>
    <row r="143" spans="1:16" x14ac:dyDescent="0.25">
      <c r="A143" t="s">
        <v>140</v>
      </c>
      <c r="B143" t="s">
        <v>56</v>
      </c>
      <c r="C143">
        <v>0</v>
      </c>
      <c r="D143">
        <v>5.6899416446685791</v>
      </c>
      <c r="E143">
        <v>1</v>
      </c>
      <c r="F143">
        <v>1</v>
      </c>
      <c r="G143">
        <v>0</v>
      </c>
      <c r="H143" t="s">
        <v>22</v>
      </c>
      <c r="I143">
        <v>1</v>
      </c>
      <c r="J143">
        <v>1</v>
      </c>
      <c r="K143">
        <v>1</v>
      </c>
      <c r="L143">
        <v>1</v>
      </c>
      <c r="M143">
        <v>1</v>
      </c>
      <c r="N143">
        <v>1</v>
      </c>
      <c r="O143">
        <v>1</v>
      </c>
      <c r="P143" t="s">
        <v>524</v>
      </c>
    </row>
    <row r="144" spans="1:16" x14ac:dyDescent="0.25">
      <c r="A144" t="s">
        <v>140</v>
      </c>
      <c r="B144" t="s">
        <v>58</v>
      </c>
      <c r="C144">
        <v>0</v>
      </c>
      <c r="D144">
        <v>2.927883625030518</v>
      </c>
      <c r="E144">
        <v>1</v>
      </c>
      <c r="F144">
        <v>1</v>
      </c>
      <c r="G144">
        <v>1</v>
      </c>
      <c r="H144">
        <v>1</v>
      </c>
      <c r="I144">
        <v>1</v>
      </c>
      <c r="J144">
        <v>1</v>
      </c>
      <c r="K144">
        <v>1</v>
      </c>
      <c r="L144">
        <v>1</v>
      </c>
      <c r="M144">
        <v>1</v>
      </c>
      <c r="N144">
        <v>1</v>
      </c>
      <c r="O144">
        <v>1</v>
      </c>
    </row>
    <row r="145" spans="1:16" x14ac:dyDescent="0.25">
      <c r="A145" t="s">
        <v>140</v>
      </c>
      <c r="B145" t="s">
        <v>60</v>
      </c>
      <c r="C145">
        <v>0</v>
      </c>
      <c r="D145">
        <v>10.082767486572269</v>
      </c>
      <c r="E145">
        <v>1</v>
      </c>
      <c r="F145">
        <v>1</v>
      </c>
      <c r="G145">
        <v>1</v>
      </c>
      <c r="H145">
        <v>1</v>
      </c>
      <c r="I145">
        <v>1</v>
      </c>
      <c r="J145">
        <v>1</v>
      </c>
      <c r="K145">
        <v>1</v>
      </c>
      <c r="L145">
        <v>1</v>
      </c>
      <c r="M145">
        <v>1</v>
      </c>
      <c r="N145">
        <v>1</v>
      </c>
      <c r="O145">
        <v>1</v>
      </c>
    </row>
    <row r="146" spans="1:16" x14ac:dyDescent="0.25">
      <c r="A146" t="s">
        <v>140</v>
      </c>
      <c r="B146" t="s">
        <v>62</v>
      </c>
      <c r="C146">
        <v>0</v>
      </c>
      <c r="D146">
        <v>8.7858917713165283</v>
      </c>
      <c r="E146">
        <v>1</v>
      </c>
      <c r="F146">
        <v>1</v>
      </c>
      <c r="G146">
        <v>1</v>
      </c>
      <c r="H146">
        <v>1</v>
      </c>
      <c r="I146">
        <v>1</v>
      </c>
      <c r="J146">
        <v>1</v>
      </c>
      <c r="K146">
        <v>1</v>
      </c>
      <c r="L146">
        <v>1</v>
      </c>
      <c r="M146">
        <v>1</v>
      </c>
      <c r="N146">
        <v>1</v>
      </c>
      <c r="O146">
        <v>1</v>
      </c>
    </row>
    <row r="147" spans="1:16" x14ac:dyDescent="0.25">
      <c r="A147" t="s">
        <v>140</v>
      </c>
      <c r="B147" t="s">
        <v>64</v>
      </c>
      <c r="C147">
        <v>0</v>
      </c>
      <c r="D147">
        <v>8.1232137680053711</v>
      </c>
      <c r="E147">
        <v>1</v>
      </c>
      <c r="F147">
        <v>0</v>
      </c>
      <c r="G147">
        <v>1</v>
      </c>
      <c r="H147" t="s">
        <v>22</v>
      </c>
      <c r="I147">
        <v>1</v>
      </c>
      <c r="J147" t="s">
        <v>22</v>
      </c>
      <c r="K147">
        <v>1</v>
      </c>
      <c r="L147">
        <v>1</v>
      </c>
      <c r="M147">
        <v>1</v>
      </c>
      <c r="N147">
        <v>1</v>
      </c>
      <c r="O147">
        <v>1</v>
      </c>
      <c r="P147" t="s">
        <v>525</v>
      </c>
    </row>
    <row r="148" spans="1:16" x14ac:dyDescent="0.25">
      <c r="A148" t="s">
        <v>140</v>
      </c>
      <c r="B148" t="s">
        <v>66</v>
      </c>
      <c r="C148">
        <v>0</v>
      </c>
      <c r="D148">
        <v>2.8525722026824951</v>
      </c>
      <c r="E148">
        <v>1</v>
      </c>
      <c r="F148">
        <v>1</v>
      </c>
      <c r="G148">
        <v>1</v>
      </c>
      <c r="H148">
        <v>1</v>
      </c>
      <c r="I148">
        <v>1</v>
      </c>
      <c r="J148">
        <v>1</v>
      </c>
      <c r="K148">
        <v>1</v>
      </c>
      <c r="L148">
        <v>1</v>
      </c>
      <c r="M148">
        <v>1</v>
      </c>
      <c r="N148">
        <v>1</v>
      </c>
      <c r="O148">
        <v>1</v>
      </c>
    </row>
    <row r="149" spans="1:16" x14ac:dyDescent="0.25">
      <c r="A149" t="s">
        <v>140</v>
      </c>
      <c r="B149" t="s">
        <v>67</v>
      </c>
      <c r="C149">
        <v>0</v>
      </c>
      <c r="D149">
        <v>9.5817484855651855</v>
      </c>
      <c r="E149">
        <v>1</v>
      </c>
      <c r="F149">
        <v>1</v>
      </c>
      <c r="G149">
        <v>1</v>
      </c>
      <c r="H149">
        <v>1</v>
      </c>
      <c r="I149">
        <v>1</v>
      </c>
      <c r="J149">
        <v>1</v>
      </c>
      <c r="K149">
        <v>1</v>
      </c>
      <c r="L149">
        <v>1</v>
      </c>
      <c r="M149">
        <v>1</v>
      </c>
      <c r="N149">
        <v>1</v>
      </c>
      <c r="O149">
        <v>1</v>
      </c>
    </row>
    <row r="150" spans="1:16" x14ac:dyDescent="0.25">
      <c r="A150" t="s">
        <v>140</v>
      </c>
      <c r="B150" t="s">
        <v>69</v>
      </c>
      <c r="C150">
        <v>0</v>
      </c>
      <c r="D150">
        <v>9.2857153415679932</v>
      </c>
      <c r="E150">
        <v>1</v>
      </c>
      <c r="F150">
        <v>1</v>
      </c>
      <c r="G150">
        <v>1</v>
      </c>
      <c r="H150">
        <v>1</v>
      </c>
      <c r="I150">
        <v>1</v>
      </c>
      <c r="J150">
        <v>1</v>
      </c>
      <c r="K150">
        <v>1</v>
      </c>
      <c r="L150">
        <v>1</v>
      </c>
      <c r="M150">
        <v>1</v>
      </c>
      <c r="N150">
        <v>1</v>
      </c>
      <c r="O150">
        <v>1</v>
      </c>
    </row>
    <row r="151" spans="1:16" x14ac:dyDescent="0.25">
      <c r="A151" t="s">
        <v>140</v>
      </c>
      <c r="B151" t="s">
        <v>70</v>
      </c>
      <c r="C151">
        <v>0</v>
      </c>
      <c r="D151">
        <v>10.122372150421141</v>
      </c>
      <c r="E151">
        <v>1</v>
      </c>
      <c r="F151">
        <v>1</v>
      </c>
      <c r="G151">
        <v>1</v>
      </c>
      <c r="H151">
        <v>1</v>
      </c>
      <c r="I151">
        <v>1</v>
      </c>
      <c r="J151">
        <v>1</v>
      </c>
      <c r="K151">
        <v>1</v>
      </c>
      <c r="L151">
        <v>1</v>
      </c>
      <c r="M151">
        <v>1</v>
      </c>
      <c r="N151">
        <v>1</v>
      </c>
      <c r="O151">
        <v>1</v>
      </c>
    </row>
    <row r="152" spans="1:16" x14ac:dyDescent="0.25">
      <c r="A152" t="s">
        <v>140</v>
      </c>
      <c r="B152" t="s">
        <v>71</v>
      </c>
      <c r="C152">
        <v>0</v>
      </c>
      <c r="D152">
        <v>2.870563268661499</v>
      </c>
      <c r="E152">
        <v>1</v>
      </c>
      <c r="F152">
        <v>1</v>
      </c>
      <c r="G152">
        <v>1</v>
      </c>
      <c r="H152">
        <v>1</v>
      </c>
      <c r="I152">
        <v>1</v>
      </c>
      <c r="J152">
        <v>1</v>
      </c>
      <c r="K152">
        <v>1</v>
      </c>
      <c r="L152">
        <v>1</v>
      </c>
      <c r="M152">
        <v>1</v>
      </c>
      <c r="N152">
        <v>1</v>
      </c>
      <c r="O152">
        <v>1</v>
      </c>
    </row>
    <row r="153" spans="1:16" x14ac:dyDescent="0.25">
      <c r="A153" t="s">
        <v>140</v>
      </c>
      <c r="B153" t="s">
        <v>73</v>
      </c>
      <c r="C153">
        <v>0</v>
      </c>
      <c r="D153">
        <v>9.9611339569091797</v>
      </c>
      <c r="E153">
        <v>1</v>
      </c>
      <c r="F153">
        <v>1</v>
      </c>
      <c r="G153">
        <v>1</v>
      </c>
      <c r="H153">
        <v>1</v>
      </c>
      <c r="I153">
        <v>1</v>
      </c>
      <c r="J153">
        <v>1</v>
      </c>
      <c r="K153">
        <v>1</v>
      </c>
      <c r="L153">
        <v>1</v>
      </c>
      <c r="M153">
        <v>1</v>
      </c>
      <c r="N153">
        <v>1</v>
      </c>
      <c r="O153">
        <v>1</v>
      </c>
    </row>
    <row r="154" spans="1:16" x14ac:dyDescent="0.25">
      <c r="A154" t="s">
        <v>140</v>
      </c>
      <c r="B154" t="s">
        <v>75</v>
      </c>
      <c r="C154">
        <v>0</v>
      </c>
      <c r="D154">
        <v>2.8840034008026119</v>
      </c>
      <c r="E154">
        <v>1</v>
      </c>
      <c r="F154">
        <v>1</v>
      </c>
      <c r="G154">
        <v>1</v>
      </c>
      <c r="H154">
        <v>1</v>
      </c>
      <c r="I154">
        <v>1</v>
      </c>
      <c r="J154">
        <v>1</v>
      </c>
      <c r="K154">
        <v>1</v>
      </c>
      <c r="L154">
        <v>1</v>
      </c>
      <c r="M154">
        <v>1</v>
      </c>
      <c r="N154">
        <v>1</v>
      </c>
      <c r="O154">
        <v>1</v>
      </c>
    </row>
    <row r="155" spans="1:16" x14ac:dyDescent="0.25">
      <c r="A155" t="s">
        <v>140</v>
      </c>
      <c r="B155" t="s">
        <v>77</v>
      </c>
      <c r="C155">
        <v>0</v>
      </c>
      <c r="D155">
        <v>10.541395425796511</v>
      </c>
      <c r="E155">
        <v>1</v>
      </c>
      <c r="F155">
        <v>1</v>
      </c>
      <c r="G155">
        <v>1</v>
      </c>
      <c r="H155">
        <v>1</v>
      </c>
      <c r="I155">
        <v>1</v>
      </c>
      <c r="J155">
        <v>1</v>
      </c>
      <c r="K155">
        <v>1</v>
      </c>
      <c r="L155">
        <v>1</v>
      </c>
      <c r="M155">
        <v>1</v>
      </c>
      <c r="N155">
        <v>1</v>
      </c>
      <c r="O155">
        <v>1</v>
      </c>
    </row>
    <row r="156" spans="1:16" x14ac:dyDescent="0.25">
      <c r="A156" t="s">
        <v>140</v>
      </c>
      <c r="B156" t="s">
        <v>79</v>
      </c>
      <c r="C156">
        <v>0</v>
      </c>
      <c r="D156">
        <v>14.50907874107361</v>
      </c>
      <c r="E156">
        <v>0</v>
      </c>
      <c r="F156" t="s">
        <v>22</v>
      </c>
      <c r="G156" t="s">
        <v>22</v>
      </c>
      <c r="H156" t="s">
        <v>22</v>
      </c>
      <c r="I156" t="s">
        <v>22</v>
      </c>
      <c r="J156" t="s">
        <v>22</v>
      </c>
      <c r="K156" t="s">
        <v>22</v>
      </c>
      <c r="L156" t="s">
        <v>22</v>
      </c>
      <c r="M156" t="s">
        <v>22</v>
      </c>
      <c r="N156" t="s">
        <v>22</v>
      </c>
      <c r="O156" t="s">
        <v>22</v>
      </c>
      <c r="P156" t="s">
        <v>526</v>
      </c>
    </row>
    <row r="157" spans="1:16" x14ac:dyDescent="0.25">
      <c r="A157" t="s">
        <v>140</v>
      </c>
      <c r="B157" t="s">
        <v>81</v>
      </c>
      <c r="C157">
        <v>0</v>
      </c>
      <c r="D157">
        <v>12.38416314125061</v>
      </c>
      <c r="E157">
        <v>1</v>
      </c>
      <c r="F157">
        <v>1</v>
      </c>
      <c r="G157">
        <v>1</v>
      </c>
      <c r="H157">
        <v>1</v>
      </c>
      <c r="I157">
        <v>1</v>
      </c>
      <c r="J157">
        <v>0</v>
      </c>
      <c r="K157">
        <v>1</v>
      </c>
      <c r="L157">
        <v>1</v>
      </c>
      <c r="M157">
        <v>1</v>
      </c>
      <c r="N157">
        <v>1</v>
      </c>
      <c r="O157">
        <v>1</v>
      </c>
      <c r="P157" t="s">
        <v>527</v>
      </c>
    </row>
    <row r="158" spans="1:16" x14ac:dyDescent="0.25">
      <c r="A158" t="s">
        <v>140</v>
      </c>
      <c r="B158" t="s">
        <v>83</v>
      </c>
      <c r="C158">
        <v>0</v>
      </c>
      <c r="D158">
        <v>13.31042385101318</v>
      </c>
      <c r="E158">
        <v>1</v>
      </c>
      <c r="F158">
        <v>1</v>
      </c>
      <c r="G158">
        <v>1</v>
      </c>
      <c r="H158">
        <v>1</v>
      </c>
      <c r="I158">
        <v>1</v>
      </c>
      <c r="J158">
        <v>0</v>
      </c>
      <c r="K158">
        <v>1</v>
      </c>
      <c r="L158">
        <v>1</v>
      </c>
      <c r="M158">
        <v>1</v>
      </c>
      <c r="N158">
        <v>1</v>
      </c>
      <c r="O158">
        <v>1</v>
      </c>
      <c r="P158" t="s">
        <v>528</v>
      </c>
    </row>
    <row r="159" spans="1:16" x14ac:dyDescent="0.25">
      <c r="A159" t="s">
        <v>140</v>
      </c>
      <c r="B159" t="s">
        <v>85</v>
      </c>
      <c r="C159">
        <v>0</v>
      </c>
      <c r="D159">
        <v>13.721252202987669</v>
      </c>
      <c r="E159">
        <v>1</v>
      </c>
      <c r="F159">
        <v>0</v>
      </c>
      <c r="G159">
        <v>1</v>
      </c>
      <c r="H159" t="s">
        <v>22</v>
      </c>
      <c r="I159">
        <v>1</v>
      </c>
      <c r="J159" t="s">
        <v>22</v>
      </c>
      <c r="K159">
        <v>1</v>
      </c>
      <c r="L159">
        <v>1</v>
      </c>
      <c r="M159">
        <v>1</v>
      </c>
      <c r="N159">
        <v>1</v>
      </c>
      <c r="O159">
        <v>1</v>
      </c>
      <c r="P159" t="s">
        <v>529</v>
      </c>
    </row>
    <row r="160" spans="1:16" x14ac:dyDescent="0.25">
      <c r="A160" t="s">
        <v>140</v>
      </c>
      <c r="B160" t="s">
        <v>87</v>
      </c>
      <c r="C160">
        <v>0</v>
      </c>
      <c r="D160">
        <v>5.4336686134338379</v>
      </c>
      <c r="E160">
        <v>0</v>
      </c>
      <c r="F160" t="s">
        <v>22</v>
      </c>
      <c r="G160" t="s">
        <v>22</v>
      </c>
      <c r="H160" t="s">
        <v>22</v>
      </c>
      <c r="I160" t="s">
        <v>22</v>
      </c>
      <c r="J160" t="s">
        <v>22</v>
      </c>
      <c r="K160" t="s">
        <v>22</v>
      </c>
      <c r="L160" t="s">
        <v>22</v>
      </c>
      <c r="M160" t="s">
        <v>22</v>
      </c>
      <c r="N160" t="s">
        <v>22</v>
      </c>
      <c r="O160" t="s">
        <v>22</v>
      </c>
      <c r="P160" t="s">
        <v>530</v>
      </c>
    </row>
    <row r="161" spans="1:16" x14ac:dyDescent="0.25">
      <c r="A161" t="s">
        <v>140</v>
      </c>
      <c r="B161" t="s">
        <v>89</v>
      </c>
      <c r="C161">
        <v>0</v>
      </c>
      <c r="D161">
        <v>12.527919292449949</v>
      </c>
      <c r="E161">
        <v>1</v>
      </c>
      <c r="F161">
        <v>1</v>
      </c>
      <c r="G161">
        <v>1</v>
      </c>
      <c r="H161">
        <v>1</v>
      </c>
      <c r="I161">
        <v>1</v>
      </c>
      <c r="J161">
        <v>0</v>
      </c>
      <c r="K161">
        <v>1</v>
      </c>
      <c r="L161">
        <v>1</v>
      </c>
      <c r="M161">
        <v>1</v>
      </c>
      <c r="N161">
        <v>1</v>
      </c>
      <c r="O161">
        <v>1</v>
      </c>
      <c r="P161" t="s">
        <v>531</v>
      </c>
    </row>
    <row r="162" spans="1:16" x14ac:dyDescent="0.25">
      <c r="A162" t="s">
        <v>140</v>
      </c>
      <c r="B162" t="s">
        <v>90</v>
      </c>
      <c r="C162">
        <v>0</v>
      </c>
      <c r="D162">
        <v>7.1598796844482422</v>
      </c>
      <c r="E162">
        <v>1</v>
      </c>
      <c r="F162">
        <v>1</v>
      </c>
      <c r="G162">
        <v>1</v>
      </c>
      <c r="H162">
        <v>1</v>
      </c>
      <c r="I162">
        <v>1</v>
      </c>
      <c r="J162">
        <v>0</v>
      </c>
      <c r="K162">
        <v>1</v>
      </c>
      <c r="L162">
        <v>1</v>
      </c>
      <c r="M162">
        <v>1</v>
      </c>
      <c r="N162">
        <v>1</v>
      </c>
      <c r="O162">
        <v>1</v>
      </c>
      <c r="P162" t="s">
        <v>532</v>
      </c>
    </row>
    <row r="163" spans="1:16" x14ac:dyDescent="0.25">
      <c r="A163" t="s">
        <v>140</v>
      </c>
      <c r="B163" t="s">
        <v>115</v>
      </c>
      <c r="C163">
        <v>0</v>
      </c>
      <c r="D163">
        <v>11.31672739982605</v>
      </c>
      <c r="E163">
        <v>1</v>
      </c>
      <c r="F163">
        <v>1</v>
      </c>
      <c r="G163">
        <v>1</v>
      </c>
      <c r="H163">
        <v>1</v>
      </c>
      <c r="I163">
        <v>1</v>
      </c>
      <c r="J163">
        <v>0</v>
      </c>
      <c r="K163">
        <v>1</v>
      </c>
      <c r="L163">
        <v>1</v>
      </c>
      <c r="M163">
        <v>1</v>
      </c>
      <c r="N163">
        <v>1</v>
      </c>
      <c r="O163">
        <v>1</v>
      </c>
      <c r="P163" t="s">
        <v>533</v>
      </c>
    </row>
    <row r="164" spans="1:16" x14ac:dyDescent="0.25">
      <c r="A164" t="s">
        <v>140</v>
      </c>
      <c r="B164" t="s">
        <v>117</v>
      </c>
      <c r="C164">
        <v>0</v>
      </c>
      <c r="D164">
        <v>12.786318302154539</v>
      </c>
      <c r="E164">
        <v>1</v>
      </c>
      <c r="F164">
        <v>1</v>
      </c>
      <c r="G164">
        <v>1</v>
      </c>
      <c r="H164">
        <v>1</v>
      </c>
      <c r="I164">
        <v>1</v>
      </c>
      <c r="J164">
        <v>0</v>
      </c>
      <c r="K164">
        <v>1</v>
      </c>
      <c r="L164">
        <v>1</v>
      </c>
      <c r="M164">
        <v>1</v>
      </c>
      <c r="N164">
        <v>1</v>
      </c>
      <c r="O164">
        <v>1</v>
      </c>
      <c r="P164" t="s">
        <v>534</v>
      </c>
    </row>
    <row r="165" spans="1:16" x14ac:dyDescent="0.25">
      <c r="A165" t="s">
        <v>140</v>
      </c>
      <c r="B165" t="s">
        <v>119</v>
      </c>
      <c r="C165">
        <v>0</v>
      </c>
      <c r="D165">
        <v>13.712734222412109</v>
      </c>
      <c r="E165">
        <v>1</v>
      </c>
      <c r="F165">
        <v>1</v>
      </c>
      <c r="G165">
        <v>1</v>
      </c>
      <c r="H165">
        <v>1</v>
      </c>
      <c r="I165">
        <v>1</v>
      </c>
      <c r="J165">
        <v>0</v>
      </c>
      <c r="K165">
        <v>0</v>
      </c>
      <c r="L165">
        <v>1</v>
      </c>
      <c r="M165">
        <v>1</v>
      </c>
      <c r="N165">
        <v>1</v>
      </c>
      <c r="O165">
        <v>1</v>
      </c>
      <c r="P165" t="s">
        <v>535</v>
      </c>
    </row>
    <row r="166" spans="1:16" x14ac:dyDescent="0.25">
      <c r="A166" t="s">
        <v>140</v>
      </c>
      <c r="B166" t="s">
        <v>121</v>
      </c>
      <c r="C166">
        <v>0</v>
      </c>
      <c r="D166">
        <v>5.6189846992492676</v>
      </c>
      <c r="E166">
        <v>1</v>
      </c>
      <c r="F166">
        <v>1</v>
      </c>
      <c r="G166">
        <v>1</v>
      </c>
      <c r="H166">
        <v>1</v>
      </c>
      <c r="I166">
        <v>1</v>
      </c>
      <c r="J166">
        <v>0</v>
      </c>
      <c r="K166">
        <v>1</v>
      </c>
      <c r="L166">
        <v>1</v>
      </c>
      <c r="M166">
        <v>1</v>
      </c>
      <c r="N166">
        <v>1</v>
      </c>
      <c r="O166">
        <v>1</v>
      </c>
      <c r="P166" t="s">
        <v>536</v>
      </c>
    </row>
    <row r="167" spans="1:16" x14ac:dyDescent="0.25">
      <c r="A167" t="s">
        <v>140</v>
      </c>
      <c r="B167" t="s">
        <v>122</v>
      </c>
      <c r="C167">
        <v>0</v>
      </c>
      <c r="D167">
        <v>4.7975823879241943</v>
      </c>
      <c r="E167">
        <v>1</v>
      </c>
      <c r="F167">
        <v>1</v>
      </c>
      <c r="G167">
        <v>1</v>
      </c>
      <c r="H167">
        <v>1</v>
      </c>
      <c r="I167">
        <v>1</v>
      </c>
      <c r="J167">
        <v>0</v>
      </c>
      <c r="K167">
        <v>1</v>
      </c>
      <c r="L167">
        <v>1</v>
      </c>
      <c r="M167">
        <v>1</v>
      </c>
      <c r="N167">
        <v>1</v>
      </c>
      <c r="O167">
        <v>1</v>
      </c>
      <c r="P167" t="s">
        <v>537</v>
      </c>
    </row>
    <row r="168" spans="1:16" x14ac:dyDescent="0.25">
      <c r="A168" t="s">
        <v>140</v>
      </c>
      <c r="B168" t="s">
        <v>124</v>
      </c>
      <c r="C168">
        <v>0</v>
      </c>
      <c r="D168">
        <v>5.8528165817260742</v>
      </c>
      <c r="E168">
        <v>1</v>
      </c>
      <c r="F168">
        <v>1</v>
      </c>
      <c r="G168">
        <v>1</v>
      </c>
      <c r="H168">
        <v>1</v>
      </c>
      <c r="I168">
        <v>1</v>
      </c>
      <c r="J168">
        <v>1</v>
      </c>
      <c r="K168">
        <v>1</v>
      </c>
      <c r="L168">
        <v>1</v>
      </c>
      <c r="M168">
        <v>1</v>
      </c>
      <c r="N168">
        <v>1</v>
      </c>
      <c r="O168">
        <v>1</v>
      </c>
    </row>
    <row r="169" spans="1:16" x14ac:dyDescent="0.25">
      <c r="A169" t="s">
        <v>140</v>
      </c>
      <c r="B169" t="s">
        <v>126</v>
      </c>
      <c r="C169">
        <v>0</v>
      </c>
      <c r="D169">
        <v>12.94028115272522</v>
      </c>
      <c r="E169">
        <v>1</v>
      </c>
      <c r="F169">
        <v>1</v>
      </c>
      <c r="G169">
        <v>1</v>
      </c>
      <c r="H169">
        <v>1</v>
      </c>
      <c r="I169">
        <v>1</v>
      </c>
      <c r="J169">
        <v>0</v>
      </c>
      <c r="K169">
        <v>1</v>
      </c>
      <c r="L169">
        <v>1</v>
      </c>
      <c r="M169">
        <v>1</v>
      </c>
      <c r="N169">
        <v>1</v>
      </c>
      <c r="O169">
        <v>1</v>
      </c>
      <c r="P169" t="s">
        <v>538</v>
      </c>
    </row>
    <row r="170" spans="1:16" x14ac:dyDescent="0.25">
      <c r="A170" t="s">
        <v>140</v>
      </c>
      <c r="B170" t="s">
        <v>128</v>
      </c>
      <c r="C170">
        <v>0</v>
      </c>
      <c r="D170">
        <v>11.460941553115839</v>
      </c>
      <c r="E170">
        <v>1</v>
      </c>
      <c r="F170">
        <v>1</v>
      </c>
      <c r="G170">
        <v>1</v>
      </c>
      <c r="H170">
        <v>0</v>
      </c>
      <c r="I170">
        <v>1</v>
      </c>
      <c r="J170">
        <v>0</v>
      </c>
      <c r="K170">
        <v>1</v>
      </c>
      <c r="L170">
        <v>1</v>
      </c>
      <c r="M170">
        <v>1</v>
      </c>
      <c r="N170">
        <v>1</v>
      </c>
      <c r="O170">
        <v>1</v>
      </c>
      <c r="P170" t="s">
        <v>539</v>
      </c>
    </row>
    <row r="171" spans="1:16" x14ac:dyDescent="0.25">
      <c r="A171" t="s">
        <v>140</v>
      </c>
      <c r="B171" t="s">
        <v>130</v>
      </c>
      <c r="C171">
        <v>0</v>
      </c>
      <c r="D171">
        <v>4.4990901947021484</v>
      </c>
      <c r="E171">
        <v>1</v>
      </c>
      <c r="F171">
        <v>1</v>
      </c>
      <c r="G171">
        <v>1</v>
      </c>
      <c r="H171">
        <v>1</v>
      </c>
      <c r="I171">
        <v>1</v>
      </c>
      <c r="J171">
        <v>0</v>
      </c>
      <c r="K171">
        <v>1</v>
      </c>
      <c r="L171">
        <v>1</v>
      </c>
      <c r="M171">
        <v>1</v>
      </c>
      <c r="N171">
        <v>1</v>
      </c>
      <c r="O171">
        <v>1</v>
      </c>
      <c r="P171" t="s">
        <v>540</v>
      </c>
    </row>
    <row r="172" spans="1:16" x14ac:dyDescent="0.25">
      <c r="A172" t="s">
        <v>140</v>
      </c>
      <c r="B172" t="s">
        <v>131</v>
      </c>
      <c r="C172">
        <v>0</v>
      </c>
      <c r="D172">
        <v>4.9013445377349854</v>
      </c>
      <c r="E172">
        <v>1</v>
      </c>
      <c r="F172">
        <v>1</v>
      </c>
      <c r="G172">
        <v>1</v>
      </c>
      <c r="H172">
        <v>1</v>
      </c>
      <c r="I172">
        <v>1</v>
      </c>
      <c r="J172">
        <v>1</v>
      </c>
      <c r="K172">
        <v>0</v>
      </c>
      <c r="L172">
        <v>1</v>
      </c>
      <c r="M172">
        <v>1</v>
      </c>
      <c r="N172">
        <v>1</v>
      </c>
      <c r="O172">
        <v>1</v>
      </c>
      <c r="P172" t="s">
        <v>541</v>
      </c>
    </row>
    <row r="173" spans="1:16" x14ac:dyDescent="0.25">
      <c r="A173" t="s">
        <v>140</v>
      </c>
      <c r="B173" t="s">
        <v>133</v>
      </c>
      <c r="C173">
        <v>0</v>
      </c>
      <c r="D173">
        <v>12.928044557571409</v>
      </c>
      <c r="E173">
        <v>1</v>
      </c>
      <c r="F173">
        <v>1</v>
      </c>
      <c r="G173">
        <v>1</v>
      </c>
      <c r="H173">
        <v>1</v>
      </c>
      <c r="I173">
        <v>1</v>
      </c>
      <c r="J173">
        <v>0</v>
      </c>
      <c r="K173">
        <v>1</v>
      </c>
      <c r="L173">
        <v>1</v>
      </c>
      <c r="M173">
        <v>1</v>
      </c>
      <c r="N173">
        <v>1</v>
      </c>
      <c r="O173">
        <v>1</v>
      </c>
      <c r="P173" t="s">
        <v>542</v>
      </c>
    </row>
    <row r="174" spans="1:16" x14ac:dyDescent="0.25">
      <c r="A174" t="s">
        <v>140</v>
      </c>
      <c r="B174" t="s">
        <v>135</v>
      </c>
      <c r="C174">
        <v>0</v>
      </c>
      <c r="D174">
        <v>9.5405597686767578</v>
      </c>
      <c r="E174">
        <v>1</v>
      </c>
      <c r="F174">
        <v>1</v>
      </c>
      <c r="G174">
        <v>1</v>
      </c>
      <c r="H174">
        <v>1</v>
      </c>
      <c r="I174">
        <v>1</v>
      </c>
      <c r="J174">
        <v>1</v>
      </c>
      <c r="K174">
        <v>1</v>
      </c>
      <c r="L174">
        <v>1</v>
      </c>
      <c r="M174">
        <v>1</v>
      </c>
      <c r="N174">
        <v>1</v>
      </c>
      <c r="O174">
        <v>1</v>
      </c>
    </row>
    <row r="175" spans="1:16" x14ac:dyDescent="0.25">
      <c r="A175" t="s">
        <v>140</v>
      </c>
      <c r="B175" t="s">
        <v>137</v>
      </c>
      <c r="C175">
        <v>0</v>
      </c>
      <c r="D175">
        <v>8.9812130928039551</v>
      </c>
      <c r="E175">
        <v>1</v>
      </c>
      <c r="F175">
        <v>1</v>
      </c>
      <c r="G175">
        <v>1</v>
      </c>
      <c r="H175">
        <v>1</v>
      </c>
      <c r="I175">
        <v>1</v>
      </c>
      <c r="J175">
        <v>1</v>
      </c>
      <c r="K175">
        <v>1</v>
      </c>
      <c r="L175">
        <v>1</v>
      </c>
      <c r="M175">
        <v>1</v>
      </c>
      <c r="N175">
        <v>1</v>
      </c>
      <c r="O175">
        <v>1</v>
      </c>
    </row>
    <row r="176" spans="1:16" x14ac:dyDescent="0.25">
      <c r="A176" t="s">
        <v>140</v>
      </c>
      <c r="B176" t="s">
        <v>138</v>
      </c>
      <c r="C176">
        <v>0</v>
      </c>
      <c r="D176">
        <v>11.467172145843509</v>
      </c>
      <c r="E176">
        <v>1</v>
      </c>
      <c r="F176">
        <v>1</v>
      </c>
      <c r="G176">
        <v>1</v>
      </c>
      <c r="H176">
        <v>1</v>
      </c>
      <c r="I176">
        <v>1</v>
      </c>
      <c r="J176">
        <v>0</v>
      </c>
      <c r="K176">
        <v>1</v>
      </c>
      <c r="L176">
        <v>1</v>
      </c>
      <c r="M176">
        <v>1</v>
      </c>
      <c r="N176">
        <v>1</v>
      </c>
      <c r="O176">
        <v>1</v>
      </c>
      <c r="P176" t="s">
        <v>543</v>
      </c>
    </row>
    <row r="177" spans="1:16" x14ac:dyDescent="0.25">
      <c r="A177" t="s">
        <v>140</v>
      </c>
      <c r="B177" t="s">
        <v>174</v>
      </c>
      <c r="C177">
        <v>0</v>
      </c>
      <c r="D177">
        <v>5.2077009677886963</v>
      </c>
      <c r="E177">
        <v>1</v>
      </c>
      <c r="F177">
        <v>1</v>
      </c>
      <c r="G177">
        <v>1</v>
      </c>
      <c r="H177">
        <v>1</v>
      </c>
      <c r="I177">
        <v>1</v>
      </c>
      <c r="J177">
        <v>0</v>
      </c>
      <c r="K177">
        <v>1</v>
      </c>
      <c r="L177">
        <v>1</v>
      </c>
      <c r="M177">
        <v>1</v>
      </c>
      <c r="N177">
        <v>1</v>
      </c>
      <c r="O177">
        <v>1</v>
      </c>
      <c r="P177" t="s">
        <v>544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BC930-40FB-4E39-BC1A-694DB4CB1619}">
  <dimension ref="A1:O177"/>
  <sheetViews>
    <sheetView tabSelected="1" topLeftCell="A167" workbookViewId="0">
      <selection activeCell="I172" sqref="I172"/>
    </sheetView>
  </sheetViews>
  <sheetFormatPr defaultRowHeight="13.8" x14ac:dyDescent="0.25"/>
  <sheetData>
    <row r="1" spans="1:15" x14ac:dyDescent="0.25">
      <c r="A1" s="1" t="s">
        <v>0</v>
      </c>
      <c r="B1" s="1" t="s">
        <v>1</v>
      </c>
      <c r="C1" s="1" t="s">
        <v>2</v>
      </c>
      <c r="D1" s="1" t="s">
        <v>3</v>
      </c>
      <c r="E1" s="1" t="s">
        <v>4</v>
      </c>
      <c r="F1" s="1" t="s">
        <v>5</v>
      </c>
      <c r="G1" s="1" t="s">
        <v>6</v>
      </c>
      <c r="H1" s="1" t="s">
        <v>8</v>
      </c>
      <c r="I1" s="1" t="s">
        <v>9</v>
      </c>
      <c r="J1" s="1" t="s">
        <v>10</v>
      </c>
      <c r="K1" s="1" t="s">
        <v>7</v>
      </c>
      <c r="L1" s="1" t="s">
        <v>11</v>
      </c>
      <c r="M1" s="1" t="s">
        <v>12</v>
      </c>
      <c r="N1" s="1" t="s">
        <v>13</v>
      </c>
      <c r="O1" s="1" t="s">
        <v>14</v>
      </c>
    </row>
    <row r="2" spans="1:15" x14ac:dyDescent="0.25">
      <c r="A2" t="s">
        <v>16</v>
      </c>
      <c r="B2" t="s">
        <v>17</v>
      </c>
      <c r="C2">
        <v>0</v>
      </c>
      <c r="D2">
        <v>11.617415428161619</v>
      </c>
      <c r="E2">
        <f>ROUND(SUM(recreation_claude_v2_5!E2,recreation_claude_v2_4!E2,recreation_claude_v2_3!E2,recreation_claude_v2_2!E2,recreation_claude_v2_1!E2)/COUNT(recreation_claude_v2_5!E2,recreation_claude_v2_4!E2,recreation_claude_v2_3!E2,recreation_claude_v2_2!E2,recreation_claude_v2_1!E2),0)</f>
        <v>1</v>
      </c>
      <c r="F2">
        <f>IF($E2 = 1,ROUND(SUM(recreation_claude_v2_5!F2,recreation_claude_v2_4!F2,recreation_claude_v2_3!F2,recreation_claude_v2_2!F2,recreation_claude_v2_1!F2)/COUNT(recreation_claude_v2_5!F2,recreation_claude_v2_4!F2,recreation_claude_v2_3!F2,recreation_claude_v2_2!F2,recreation_claude_v2_1!F2),0),"NA")</f>
        <v>1</v>
      </c>
      <c r="G2">
        <f>IF($E2 = 1,ROUND(SUM(recreation_claude_v2_5!G2,recreation_claude_v2_4!G2,recreation_claude_v2_3!G2,recreation_claude_v2_2!G2,recreation_claude_v2_1!G2)/COUNT(recreation_claude_v2_5!G2,recreation_claude_v2_4!G2,recreation_claude_v2_3!G2,recreation_claude_v2_2!G2,recreation_claude_v2_1!G2),0),"NA")</f>
        <v>1</v>
      </c>
      <c r="H2">
        <f>IF($E2 = 1,ROUND(SUM(recreation_claude_v2_5!I2,recreation_claude_v2_4!I2,recreation_claude_v2_3!I2,recreation_claude_v2_2!I2,recreation_claude_v2_1!I2)/COUNT(recreation_claude_v2_5!I2,recreation_claude_v2_4!I2,recreation_claude_v2_3!I2,recreation_claude_v2_2!I2,recreation_claude_v2_1!I2),0),"NA")</f>
        <v>1</v>
      </c>
      <c r="I2">
        <f>IF($F2 = 1,ROUND(SUM(recreation_claude_v2_5!J2,recreation_claude_v2_4!J2,recreation_claude_v2_3!J2,recreation_claude_v2_2!J2,recreation_claude_v2_1!J2)/COUNT(recreation_claude_v2_5!J2,recreation_claude_v2_4!J2,recreation_claude_v2_3!J2,recreation_claude_v2_2!J2,recreation_claude_v2_1!J2),0),"NA")</f>
        <v>0</v>
      </c>
      <c r="J2">
        <f>IF($E2 = 1,ROUND(SUM(recreation_claude_v2_5!K2,recreation_claude_v2_4!K2,recreation_claude_v2_3!K2,recreation_claude_v2_2!K2,recreation_claude_v2_1!K2)/COUNT(recreation_claude_v2_5!K2,recreation_claude_v2_4!K2,recreation_claude_v2_3!K2,recreation_claude_v2_2!K2,recreation_claude_v2_1!K2),0),"NA")</f>
        <v>1</v>
      </c>
      <c r="K2">
        <f>IF(AND($F2 = 1, $G2 = 1),ROUND(SUM(recreation_claude_v2_5!$H2,recreation_claude_v2_4!$H2,recreation_claude_v2_3!$H2,recreation_claude_v2_2!$H2,recreation_claude_v2_1!$H2)/COUNT(recreation_claude_v2_5!$H2,recreation_claude_v2_4!$H2,recreation_claude_v2_3!$H2,recreation_claude_v2_2!$H2,recreation_claude_v2_1!$H2),0))</f>
        <v>1</v>
      </c>
      <c r="L2">
        <f>IF($E2 = 1,ROUND(SUM(recreation_claude_v2_5!L2,recreation_claude_v2_4!L2,recreation_claude_v2_3!L2,recreation_claude_v2_2!L2,recreation_claude_v2_1!L2)/COUNT(recreation_claude_v2_5!L2,recreation_claude_v2_4!L2,recreation_claude_v2_3!L2,recreation_claude_v2_2!L2,recreation_claude_v2_1!L2),0),"NA")</f>
        <v>1</v>
      </c>
      <c r="M2">
        <f>IF($E2 = 1,ROUND(SUM(recreation_claude_v2_5!M2,recreation_claude_v2_4!M2,recreation_claude_v2_3!M2,recreation_claude_v2_2!M2,recreation_claude_v2_1!M2)/COUNT(recreation_claude_v2_5!M2,recreation_claude_v2_4!M2,recreation_claude_v2_3!M2,recreation_claude_v2_2!M2,recreation_claude_v2_1!M2),0),"NA")</f>
        <v>1</v>
      </c>
      <c r="N2">
        <f>IF($E2 = 1,ROUND(SUM(recreation_claude_v2_5!N2,recreation_claude_v2_4!N2,recreation_claude_v2_3!N2,recreation_claude_v2_2!N2,recreation_claude_v2_1!N2)/COUNT(recreation_claude_v2_5!N2,recreation_claude_v2_4!N2,recreation_claude_v2_3!N2,recreation_claude_v2_2!N2,recreation_claude_v2_1!N2),0),"NA")</f>
        <v>1</v>
      </c>
      <c r="O2">
        <f>IF($E2 = 1,ROUND(SUM(recreation_claude_v2_5!O2,recreation_claude_v2_4!O2,recreation_claude_v2_3!O2,recreation_claude_v2_2!O2,recreation_claude_v2_1!O2)/COUNT(recreation_claude_v2_5!O2,recreation_claude_v2_4!O2,recreation_claude_v2_3!O2,recreation_claude_v2_2!O2,recreation_claude_v2_1!O2),0),"NA")</f>
        <v>1</v>
      </c>
    </row>
    <row r="3" spans="1:15" x14ac:dyDescent="0.25">
      <c r="A3" t="s">
        <v>16</v>
      </c>
      <c r="B3" t="s">
        <v>19</v>
      </c>
      <c r="C3">
        <v>0</v>
      </c>
      <c r="D3">
        <v>9.4811239242553711</v>
      </c>
      <c r="E3">
        <f>ROUND(SUM(recreation_claude_v2_5!E3,recreation_claude_v2_4!E3,recreation_claude_v2_3!E3,recreation_claude_v2_2!E3,recreation_claude_v2_1!E3)/COUNT(recreation_claude_v2_5!E3,recreation_claude_v2_4!E3,recreation_claude_v2_3!E3,recreation_claude_v2_2!E3,recreation_claude_v2_1!E3),0)</f>
        <v>1</v>
      </c>
      <c r="F3">
        <f>IF($E3 = 1,ROUND(SUM(recreation_claude_v2_5!F3,recreation_claude_v2_4!F3,recreation_claude_v2_3!F3,recreation_claude_v2_2!F3,recreation_claude_v2_1!F3)/COUNT(recreation_claude_v2_5!F3,recreation_claude_v2_4!F3,recreation_claude_v2_3!F3,recreation_claude_v2_2!F3,recreation_claude_v2_1!F3),0),"NA")</f>
        <v>1</v>
      </c>
      <c r="G3">
        <f>IF($E3 = 1,ROUND(SUM(recreation_claude_v2_5!G3,recreation_claude_v2_4!G3,recreation_claude_v2_3!G3,recreation_claude_v2_2!G3,recreation_claude_v2_1!G3)/COUNT(recreation_claude_v2_5!G3,recreation_claude_v2_4!G3,recreation_claude_v2_3!G3,recreation_claude_v2_2!G3,recreation_claude_v2_1!G3),0),"NA")</f>
        <v>1</v>
      </c>
      <c r="H3">
        <f>IF($E3 = 1,ROUND(SUM(recreation_claude_v2_5!I3,recreation_claude_v2_4!I3,recreation_claude_v2_3!I3,recreation_claude_v2_2!I3,recreation_claude_v2_1!I3)/COUNT(recreation_claude_v2_5!I3,recreation_claude_v2_4!I3,recreation_claude_v2_3!I3,recreation_claude_v2_2!I3,recreation_claude_v2_1!I3),0),"NA")</f>
        <v>1</v>
      </c>
      <c r="I3">
        <f>IF($F3 = 1,ROUND(SUM(recreation_claude_v2_5!J3,recreation_claude_v2_4!J3,recreation_claude_v2_3!J3,recreation_claude_v2_2!J3,recreation_claude_v2_1!J3)/COUNT(recreation_claude_v2_5!J3,recreation_claude_v2_4!J3,recreation_claude_v2_3!J3,recreation_claude_v2_2!J3,recreation_claude_v2_1!J3),0),"NA")</f>
        <v>1</v>
      </c>
      <c r="J3">
        <f>IF($E3 = 1,ROUND(SUM(recreation_claude_v2_5!K3,recreation_claude_v2_4!K3,recreation_claude_v2_3!K3,recreation_claude_v2_2!K3,recreation_claude_v2_1!K3)/COUNT(recreation_claude_v2_5!K3,recreation_claude_v2_4!K3,recreation_claude_v2_3!K3,recreation_claude_v2_2!K3,recreation_claude_v2_1!K3),0),"NA")</f>
        <v>1</v>
      </c>
      <c r="K3">
        <f>IF(AND($F3 = 1, $G3 = 1),ROUND(SUM(recreation_claude_v2_5!L3,recreation_claude_v2_4!L3,recreation_claude_v2_3!L3,recreation_claude_v2_2!L3,recreation_claude_v2_1!L3)/COUNT(recreation_claude_v2_5!L3,recreation_claude_v2_4!L3,recreation_claude_v2_3!L3,recreation_claude_v2_2!L3,recreation_claude_v2_1!L3),0),"NA")</f>
        <v>1</v>
      </c>
      <c r="L3">
        <f>IF($E3 = 1,ROUND(SUM(recreation_claude_v2_5!L3,recreation_claude_v2_4!L3,recreation_claude_v2_3!L3,recreation_claude_v2_2!L3,recreation_claude_v2_1!L3)/COUNT(recreation_claude_v2_5!L3,recreation_claude_v2_4!L3,recreation_claude_v2_3!L3,recreation_claude_v2_2!L3,recreation_claude_v2_1!L3),0),"NA")</f>
        <v>1</v>
      </c>
      <c r="M3">
        <f>IF($E3 = 1,ROUND(SUM(recreation_claude_v2_5!M3,recreation_claude_v2_4!M3,recreation_claude_v2_3!M3,recreation_claude_v2_2!M3,recreation_claude_v2_1!M3)/COUNT(recreation_claude_v2_5!M3,recreation_claude_v2_4!M3,recreation_claude_v2_3!M3,recreation_claude_v2_2!M3,recreation_claude_v2_1!M3),0),"NA")</f>
        <v>1</v>
      </c>
      <c r="N3">
        <f>IF($E3 = 1,ROUND(SUM(recreation_claude_v2_5!N3,recreation_claude_v2_4!N3,recreation_claude_v2_3!N3,recreation_claude_v2_2!N3,recreation_claude_v2_1!N3)/COUNT(recreation_claude_v2_5!N3,recreation_claude_v2_4!N3,recreation_claude_v2_3!N3,recreation_claude_v2_2!N3,recreation_claude_v2_1!N3),0),"NA")</f>
        <v>1</v>
      </c>
      <c r="O3">
        <f>IF($E3 = 1,ROUND(SUM(recreation_claude_v2_5!O3,recreation_claude_v2_4!O3,recreation_claude_v2_3!O3,recreation_claude_v2_2!O3,recreation_claude_v2_1!O3)/COUNT(recreation_claude_v2_5!O3,recreation_claude_v2_4!O3,recreation_claude_v2_3!O3,recreation_claude_v2_2!O3,recreation_claude_v2_1!O3),0),"NA")</f>
        <v>1</v>
      </c>
    </row>
    <row r="4" spans="1:15" x14ac:dyDescent="0.25">
      <c r="A4" t="s">
        <v>16</v>
      </c>
      <c r="B4" t="s">
        <v>20</v>
      </c>
      <c r="C4">
        <v>0</v>
      </c>
      <c r="D4">
        <v>10.81871461868286</v>
      </c>
      <c r="E4">
        <f>ROUND(SUM(recreation_claude_v2_5!E4,recreation_claude_v2_4!E4,recreation_claude_v2_3!E4,recreation_claude_v2_2!E4,recreation_claude_v2_1!E4)/COUNT(recreation_claude_v2_5!E4,recreation_claude_v2_4!E4,recreation_claude_v2_3!E4,recreation_claude_v2_2!E4,recreation_claude_v2_1!E4),0)</f>
        <v>1</v>
      </c>
      <c r="F4">
        <f>IF($E4 = 1,ROUND(SUM(recreation_claude_v2_5!F4,recreation_claude_v2_4!F4,recreation_claude_v2_3!F4,recreation_claude_v2_2!F4,recreation_claude_v2_1!F4)/COUNT(recreation_claude_v2_5!F4,recreation_claude_v2_4!F4,recreation_claude_v2_3!F4,recreation_claude_v2_2!F4,recreation_claude_v2_1!F4),0),"NA")</f>
        <v>1</v>
      </c>
      <c r="G4">
        <f>IF($E4 = 1,ROUND(SUM(recreation_claude_v2_5!G4,recreation_claude_v2_4!G4,recreation_claude_v2_3!G4,recreation_claude_v2_2!G4,recreation_claude_v2_1!G4)/COUNT(recreation_claude_v2_5!G4,recreation_claude_v2_4!G4,recreation_claude_v2_3!G4,recreation_claude_v2_2!G4,recreation_claude_v2_1!G4),0),"NA")</f>
        <v>1</v>
      </c>
      <c r="H4">
        <f>IF($E4 = 1,ROUND(SUM(recreation_claude_v2_5!I4,recreation_claude_v2_4!I4,recreation_claude_v2_3!I4,recreation_claude_v2_2!I4,recreation_claude_v2_1!I4)/COUNT(recreation_claude_v2_5!I4,recreation_claude_v2_4!I4,recreation_claude_v2_3!I4,recreation_claude_v2_2!I4,recreation_claude_v2_1!I4),0),"NA")</f>
        <v>1</v>
      </c>
      <c r="I4">
        <f>IF($F4 = 1,ROUND(SUM(recreation_claude_v2_5!J4,recreation_claude_v2_4!J4,recreation_claude_v2_3!J4,recreation_claude_v2_2!J4,recreation_claude_v2_1!J4)/COUNT(recreation_claude_v2_5!J4,recreation_claude_v2_4!J4,recreation_claude_v2_3!J4,recreation_claude_v2_2!J4,recreation_claude_v2_1!J4),0),"NA")</f>
        <v>1</v>
      </c>
      <c r="J4">
        <f>IF($E4 = 1,ROUND(SUM(recreation_claude_v2_5!K4,recreation_claude_v2_4!K4,recreation_claude_v2_3!K4,recreation_claude_v2_2!K4,recreation_claude_v2_1!K4)/COUNT(recreation_claude_v2_5!K4,recreation_claude_v2_4!K4,recreation_claude_v2_3!K4,recreation_claude_v2_2!K4,recreation_claude_v2_1!K4),0),"NA")</f>
        <v>1</v>
      </c>
      <c r="K4">
        <f>IF(AND($F4 = 1, $G4 = 1),ROUND(SUM(recreation_claude_v2_5!L4,recreation_claude_v2_4!L4,recreation_claude_v2_3!L4,recreation_claude_v2_2!L4,recreation_claude_v2_1!L4)/COUNT(recreation_claude_v2_5!L4,recreation_claude_v2_4!L4,recreation_claude_v2_3!L4,recreation_claude_v2_2!L4,recreation_claude_v2_1!L4),0),"NA")</f>
        <v>1</v>
      </c>
      <c r="L4">
        <f>IF($E4 = 1,ROUND(SUM(recreation_claude_v2_5!L4,recreation_claude_v2_4!L4,recreation_claude_v2_3!L4,recreation_claude_v2_2!L4,recreation_claude_v2_1!L4)/COUNT(recreation_claude_v2_5!L4,recreation_claude_v2_4!L4,recreation_claude_v2_3!L4,recreation_claude_v2_2!L4,recreation_claude_v2_1!L4),0),"NA")</f>
        <v>1</v>
      </c>
      <c r="M4">
        <f>IF($E4 = 1,ROUND(SUM(recreation_claude_v2_5!M4,recreation_claude_v2_4!M4,recreation_claude_v2_3!M4,recreation_claude_v2_2!M4,recreation_claude_v2_1!M4)/COUNT(recreation_claude_v2_5!M4,recreation_claude_v2_4!M4,recreation_claude_v2_3!M4,recreation_claude_v2_2!M4,recreation_claude_v2_1!M4),0),"NA")</f>
        <v>1</v>
      </c>
      <c r="N4">
        <f>IF($E4 = 1,ROUND(SUM(recreation_claude_v2_5!N4,recreation_claude_v2_4!N4,recreation_claude_v2_3!N4,recreation_claude_v2_2!N4,recreation_claude_v2_1!N4)/COUNT(recreation_claude_v2_5!N4,recreation_claude_v2_4!N4,recreation_claude_v2_3!N4,recreation_claude_v2_2!N4,recreation_claude_v2_1!N4),0),"NA")</f>
        <v>1</v>
      </c>
      <c r="O4">
        <f>IF($E4 = 1,ROUND(SUM(recreation_claude_v2_5!O4,recreation_claude_v2_4!O4,recreation_claude_v2_3!O4,recreation_claude_v2_2!O4,recreation_claude_v2_1!O4)/COUNT(recreation_claude_v2_5!O4,recreation_claude_v2_4!O4,recreation_claude_v2_3!O4,recreation_claude_v2_2!O4,recreation_claude_v2_1!O4),0),"NA")</f>
        <v>1</v>
      </c>
    </row>
    <row r="5" spans="1:15" x14ac:dyDescent="0.25">
      <c r="A5" t="s">
        <v>16</v>
      </c>
      <c r="B5" t="s">
        <v>21</v>
      </c>
      <c r="C5">
        <v>0</v>
      </c>
      <c r="D5">
        <v>7.6704518795013428</v>
      </c>
      <c r="E5">
        <f>ROUND(SUM(recreation_claude_v2_5!E5,recreation_claude_v2_4!E5,recreation_claude_v2_3!E5,recreation_claude_v2_2!E5,recreation_claude_v2_1!E5)/COUNT(recreation_claude_v2_5!E5,recreation_claude_v2_4!E5,recreation_claude_v2_3!E5,recreation_claude_v2_2!E5,recreation_claude_v2_1!E5),0)</f>
        <v>1</v>
      </c>
      <c r="F5">
        <f>IF($E5 = 1,ROUND(SUM(recreation_claude_v2_5!F5,recreation_claude_v2_4!F5,recreation_claude_v2_3!F5,recreation_claude_v2_2!F5,recreation_claude_v2_1!F5)/COUNT(recreation_claude_v2_5!F5,recreation_claude_v2_4!F5,recreation_claude_v2_3!F5,recreation_claude_v2_2!F5,recreation_claude_v2_1!F5),0),"NA")</f>
        <v>0</v>
      </c>
      <c r="G5">
        <f>IF($E5 = 1,ROUND(SUM(recreation_claude_v2_5!G5,recreation_claude_v2_4!G5,recreation_claude_v2_3!G5,recreation_claude_v2_2!G5,recreation_claude_v2_1!G5)/COUNT(recreation_claude_v2_5!G5,recreation_claude_v2_4!G5,recreation_claude_v2_3!G5,recreation_claude_v2_2!G5,recreation_claude_v2_1!G5),0),"NA")</f>
        <v>1</v>
      </c>
      <c r="H5">
        <f>IF($E5 = 1,ROUND(SUM(recreation_claude_v2_5!I5,recreation_claude_v2_4!I5,recreation_claude_v2_3!I5,recreation_claude_v2_2!I5,recreation_claude_v2_1!I5)/COUNT(recreation_claude_v2_5!I5,recreation_claude_v2_4!I5,recreation_claude_v2_3!I5,recreation_claude_v2_2!I5,recreation_claude_v2_1!I5),0),"NA")</f>
        <v>1</v>
      </c>
      <c r="I5" t="str">
        <f>IF($F5 = 1,ROUND(SUM(recreation_claude_v2_5!J5,recreation_claude_v2_4!J5,recreation_claude_v2_3!J5,recreation_claude_v2_2!J5,recreation_claude_v2_1!J5)/COUNT(recreation_claude_v2_5!J5,recreation_claude_v2_4!J5,recreation_claude_v2_3!J5,recreation_claude_v2_2!J5,recreation_claude_v2_1!J5),0),"NA")</f>
        <v>NA</v>
      </c>
      <c r="J5">
        <f>IF($E5 = 1,ROUND(SUM(recreation_claude_v2_5!K5,recreation_claude_v2_4!K5,recreation_claude_v2_3!K5,recreation_claude_v2_2!K5,recreation_claude_v2_1!K5)/COUNT(recreation_claude_v2_5!K5,recreation_claude_v2_4!K5,recreation_claude_v2_3!K5,recreation_claude_v2_2!K5,recreation_claude_v2_1!K5),0),"NA")</f>
        <v>1</v>
      </c>
      <c r="K5" t="str">
        <f>IF(AND($F5 = 1, $G5 = 1),ROUND(SUM(recreation_claude_v2_5!L5,recreation_claude_v2_4!L5,recreation_claude_v2_3!L5,recreation_claude_v2_2!L5,recreation_claude_v2_1!L5)/COUNT(recreation_claude_v2_5!L5,recreation_claude_v2_4!L5,recreation_claude_v2_3!L5,recreation_claude_v2_2!L5,recreation_claude_v2_1!L5),0),"NA")</f>
        <v>NA</v>
      </c>
      <c r="L5">
        <f>IF($E5 = 1,ROUND(SUM(recreation_claude_v2_5!L5,recreation_claude_v2_4!L5,recreation_claude_v2_3!L5,recreation_claude_v2_2!L5,recreation_claude_v2_1!L5)/COUNT(recreation_claude_v2_5!L5,recreation_claude_v2_4!L5,recreation_claude_v2_3!L5,recreation_claude_v2_2!L5,recreation_claude_v2_1!L5),0),"NA")</f>
        <v>1</v>
      </c>
      <c r="M5">
        <f>IF($E5 = 1,ROUND(SUM(recreation_claude_v2_5!M5,recreation_claude_v2_4!M5,recreation_claude_v2_3!M5,recreation_claude_v2_2!M5,recreation_claude_v2_1!M5)/COUNT(recreation_claude_v2_5!M5,recreation_claude_v2_4!M5,recreation_claude_v2_3!M5,recreation_claude_v2_2!M5,recreation_claude_v2_1!M5),0),"NA")</f>
        <v>1</v>
      </c>
      <c r="N5">
        <f>IF($E5 = 1,ROUND(SUM(recreation_claude_v2_5!N5,recreation_claude_v2_4!N5,recreation_claude_v2_3!N5,recreation_claude_v2_2!N5,recreation_claude_v2_1!N5)/COUNT(recreation_claude_v2_5!N5,recreation_claude_v2_4!N5,recreation_claude_v2_3!N5,recreation_claude_v2_2!N5,recreation_claude_v2_1!N5),0),"NA")</f>
        <v>1</v>
      </c>
      <c r="O5">
        <f>IF($E5 = 1,ROUND(SUM(recreation_claude_v2_5!O5,recreation_claude_v2_4!O5,recreation_claude_v2_3!O5,recreation_claude_v2_2!O5,recreation_claude_v2_1!O5)/COUNT(recreation_claude_v2_5!O5,recreation_claude_v2_4!O5,recreation_claude_v2_3!O5,recreation_claude_v2_2!O5,recreation_claude_v2_1!O5),0),"NA")</f>
        <v>1</v>
      </c>
    </row>
    <row r="6" spans="1:15" x14ac:dyDescent="0.25">
      <c r="A6" t="s">
        <v>16</v>
      </c>
      <c r="B6" t="s">
        <v>24</v>
      </c>
      <c r="C6">
        <v>0</v>
      </c>
      <c r="D6">
        <v>2.8635883331298828</v>
      </c>
      <c r="E6">
        <f>ROUND(SUM(recreation_claude_v2_5!E6,recreation_claude_v2_4!E6,recreation_claude_v2_3!E6,recreation_claude_v2_2!E6,recreation_claude_v2_1!E6)/COUNT(recreation_claude_v2_5!E6,recreation_claude_v2_4!E6,recreation_claude_v2_3!E6,recreation_claude_v2_2!E6,recreation_claude_v2_1!E6),0)</f>
        <v>1</v>
      </c>
      <c r="F6">
        <f>IF($E6 = 1,ROUND(SUM(recreation_claude_v2_5!F6,recreation_claude_v2_4!F6,recreation_claude_v2_3!F6,recreation_claude_v2_2!F6,recreation_claude_v2_1!F6)/COUNT(recreation_claude_v2_5!F6,recreation_claude_v2_4!F6,recreation_claude_v2_3!F6,recreation_claude_v2_2!F6,recreation_claude_v2_1!F6),0),"NA")</f>
        <v>1</v>
      </c>
      <c r="G6">
        <f>IF($E6 = 1,ROUND(SUM(recreation_claude_v2_5!G6,recreation_claude_v2_4!G6,recreation_claude_v2_3!G6,recreation_claude_v2_2!G6,recreation_claude_v2_1!G6)/COUNT(recreation_claude_v2_5!G6,recreation_claude_v2_4!G6,recreation_claude_v2_3!G6,recreation_claude_v2_2!G6,recreation_claude_v2_1!G6),0),"NA")</f>
        <v>1</v>
      </c>
      <c r="H6">
        <f>IF($E6 = 1,ROUND(SUM(recreation_claude_v2_5!I6,recreation_claude_v2_4!I6,recreation_claude_v2_3!I6,recreation_claude_v2_2!I6,recreation_claude_v2_1!I6)/COUNT(recreation_claude_v2_5!I6,recreation_claude_v2_4!I6,recreation_claude_v2_3!I6,recreation_claude_v2_2!I6,recreation_claude_v2_1!I6),0),"NA")</f>
        <v>1</v>
      </c>
      <c r="I6">
        <f>IF($F6 = 1,ROUND(SUM(recreation_claude_v2_5!J6,recreation_claude_v2_4!J6,recreation_claude_v2_3!J6,recreation_claude_v2_2!J6,recreation_claude_v2_1!J6)/COUNT(recreation_claude_v2_5!J6,recreation_claude_v2_4!J6,recreation_claude_v2_3!J6,recreation_claude_v2_2!J6,recreation_claude_v2_1!J6),0),"NA")</f>
        <v>1</v>
      </c>
      <c r="J6">
        <f>IF($E6 = 1,ROUND(SUM(recreation_claude_v2_5!K6,recreation_claude_v2_4!K6,recreation_claude_v2_3!K6,recreation_claude_v2_2!K6,recreation_claude_v2_1!K6)/COUNT(recreation_claude_v2_5!K6,recreation_claude_v2_4!K6,recreation_claude_v2_3!K6,recreation_claude_v2_2!K6,recreation_claude_v2_1!K6),0),"NA")</f>
        <v>1</v>
      </c>
      <c r="K6">
        <f>IF(AND($F6 = 1, $G6 = 1),ROUND(SUM(recreation_claude_v2_5!L6,recreation_claude_v2_4!L6,recreation_claude_v2_3!L6,recreation_claude_v2_2!L6,recreation_claude_v2_1!L6)/COUNT(recreation_claude_v2_5!L6,recreation_claude_v2_4!L6,recreation_claude_v2_3!L6,recreation_claude_v2_2!L6,recreation_claude_v2_1!L6),0),"NA")</f>
        <v>1</v>
      </c>
      <c r="L6">
        <f>IF($E6 = 1,ROUND(SUM(recreation_claude_v2_5!L6,recreation_claude_v2_4!L6,recreation_claude_v2_3!L6,recreation_claude_v2_2!L6,recreation_claude_v2_1!L6)/COUNT(recreation_claude_v2_5!L6,recreation_claude_v2_4!L6,recreation_claude_v2_3!L6,recreation_claude_v2_2!L6,recreation_claude_v2_1!L6),0),"NA")</f>
        <v>1</v>
      </c>
      <c r="M6">
        <f>IF($E6 = 1,ROUND(SUM(recreation_claude_v2_5!M6,recreation_claude_v2_4!M6,recreation_claude_v2_3!M6,recreation_claude_v2_2!M6,recreation_claude_v2_1!M6)/COUNT(recreation_claude_v2_5!M6,recreation_claude_v2_4!M6,recreation_claude_v2_3!M6,recreation_claude_v2_2!M6,recreation_claude_v2_1!M6),0),"NA")</f>
        <v>1</v>
      </c>
      <c r="N6">
        <f>IF($E6 = 1,ROUND(SUM(recreation_claude_v2_5!N6,recreation_claude_v2_4!N6,recreation_claude_v2_3!N6,recreation_claude_v2_2!N6,recreation_claude_v2_1!N6)/COUNT(recreation_claude_v2_5!N6,recreation_claude_v2_4!N6,recreation_claude_v2_3!N6,recreation_claude_v2_2!N6,recreation_claude_v2_1!N6),0),"NA")</f>
        <v>1</v>
      </c>
      <c r="O6">
        <f>IF($E6 = 1,ROUND(SUM(recreation_claude_v2_5!O6,recreation_claude_v2_4!O6,recreation_claude_v2_3!O6,recreation_claude_v2_2!O6,recreation_claude_v2_1!O6)/COUNT(recreation_claude_v2_5!O6,recreation_claude_v2_4!O6,recreation_claude_v2_3!O6,recreation_claude_v2_2!O6,recreation_claude_v2_1!O6),0),"NA")</f>
        <v>1</v>
      </c>
    </row>
    <row r="7" spans="1:15" x14ac:dyDescent="0.25">
      <c r="A7" t="s">
        <v>16</v>
      </c>
      <c r="B7" t="s">
        <v>25</v>
      </c>
      <c r="C7">
        <v>0</v>
      </c>
      <c r="D7">
        <v>3.2042381763458252</v>
      </c>
      <c r="E7">
        <f>ROUND(SUM(recreation_claude_v2_5!E7,recreation_claude_v2_4!E7,recreation_claude_v2_3!E7,recreation_claude_v2_2!E7,recreation_claude_v2_1!E7)/COUNT(recreation_claude_v2_5!E7,recreation_claude_v2_4!E7,recreation_claude_v2_3!E7,recreation_claude_v2_2!E7,recreation_claude_v2_1!E7),0)</f>
        <v>1</v>
      </c>
      <c r="F7">
        <f>IF($E7 = 1,ROUND(SUM(recreation_claude_v2_5!F7,recreation_claude_v2_4!F7,recreation_claude_v2_3!F7,recreation_claude_v2_2!F7,recreation_claude_v2_1!F7)/COUNT(recreation_claude_v2_5!F7,recreation_claude_v2_4!F7,recreation_claude_v2_3!F7,recreation_claude_v2_2!F7,recreation_claude_v2_1!F7),0),"NA")</f>
        <v>1</v>
      </c>
      <c r="G7">
        <f>IF($E7 = 1,ROUND(SUM(recreation_claude_v2_5!G7,recreation_claude_v2_4!G7,recreation_claude_v2_3!G7,recreation_claude_v2_2!G7,recreation_claude_v2_1!G7)/COUNT(recreation_claude_v2_5!G7,recreation_claude_v2_4!G7,recreation_claude_v2_3!G7,recreation_claude_v2_2!G7,recreation_claude_v2_1!G7),0),"NA")</f>
        <v>1</v>
      </c>
      <c r="H7">
        <f>IF($E7 = 1,ROUND(SUM(recreation_claude_v2_5!I7,recreation_claude_v2_4!I7,recreation_claude_v2_3!I7,recreation_claude_v2_2!I7,recreation_claude_v2_1!I7)/COUNT(recreation_claude_v2_5!I7,recreation_claude_v2_4!I7,recreation_claude_v2_3!I7,recreation_claude_v2_2!I7,recreation_claude_v2_1!I7),0),"NA")</f>
        <v>1</v>
      </c>
      <c r="I7">
        <f>IF($F7 = 1,ROUND(SUM(recreation_claude_v2_5!J7,recreation_claude_v2_4!J7,recreation_claude_v2_3!J7,recreation_claude_v2_2!J7,recreation_claude_v2_1!J7)/COUNT(recreation_claude_v2_5!J7,recreation_claude_v2_4!J7,recreation_claude_v2_3!J7,recreation_claude_v2_2!J7,recreation_claude_v2_1!J7),0),"NA")</f>
        <v>1</v>
      </c>
      <c r="J7">
        <f>IF($E7 = 1,ROUND(SUM(recreation_claude_v2_5!K7,recreation_claude_v2_4!K7,recreation_claude_v2_3!K7,recreation_claude_v2_2!K7,recreation_claude_v2_1!K7)/COUNT(recreation_claude_v2_5!K7,recreation_claude_v2_4!K7,recreation_claude_v2_3!K7,recreation_claude_v2_2!K7,recreation_claude_v2_1!K7),0),"NA")</f>
        <v>1</v>
      </c>
      <c r="K7">
        <f>IF(AND($F7 = 1, $G7 = 1),ROUND(SUM(recreation_claude_v2_5!L7,recreation_claude_v2_4!L7,recreation_claude_v2_3!L7,recreation_claude_v2_2!L7,recreation_claude_v2_1!L7)/COUNT(recreation_claude_v2_5!L7,recreation_claude_v2_4!L7,recreation_claude_v2_3!L7,recreation_claude_v2_2!L7,recreation_claude_v2_1!L7),0),"NA")</f>
        <v>1</v>
      </c>
      <c r="L7">
        <f>IF($E7 = 1,ROUND(SUM(recreation_claude_v2_5!L7,recreation_claude_v2_4!L7,recreation_claude_v2_3!L7,recreation_claude_v2_2!L7,recreation_claude_v2_1!L7)/COUNT(recreation_claude_v2_5!L7,recreation_claude_v2_4!L7,recreation_claude_v2_3!L7,recreation_claude_v2_2!L7,recreation_claude_v2_1!L7),0),"NA")</f>
        <v>1</v>
      </c>
      <c r="M7">
        <f>IF($E7 = 1,ROUND(SUM(recreation_claude_v2_5!M7,recreation_claude_v2_4!M7,recreation_claude_v2_3!M7,recreation_claude_v2_2!M7,recreation_claude_v2_1!M7)/COUNT(recreation_claude_v2_5!M7,recreation_claude_v2_4!M7,recreation_claude_v2_3!M7,recreation_claude_v2_2!M7,recreation_claude_v2_1!M7),0),"NA")</f>
        <v>1</v>
      </c>
      <c r="N7">
        <f>IF($E7 = 1,ROUND(SUM(recreation_claude_v2_5!N7,recreation_claude_v2_4!N7,recreation_claude_v2_3!N7,recreation_claude_v2_2!N7,recreation_claude_v2_1!N7)/COUNT(recreation_claude_v2_5!N7,recreation_claude_v2_4!N7,recreation_claude_v2_3!N7,recreation_claude_v2_2!N7,recreation_claude_v2_1!N7),0),"NA")</f>
        <v>1</v>
      </c>
      <c r="O7">
        <f>IF($E7 = 1,ROUND(SUM(recreation_claude_v2_5!O7,recreation_claude_v2_4!O7,recreation_claude_v2_3!O7,recreation_claude_v2_2!O7,recreation_claude_v2_1!O7)/COUNT(recreation_claude_v2_5!O7,recreation_claude_v2_4!O7,recreation_claude_v2_3!O7,recreation_claude_v2_2!O7,recreation_claude_v2_1!O7),0),"NA")</f>
        <v>1</v>
      </c>
    </row>
    <row r="8" spans="1:15" x14ac:dyDescent="0.25">
      <c r="A8" t="s">
        <v>16</v>
      </c>
      <c r="B8" t="s">
        <v>26</v>
      </c>
      <c r="C8">
        <v>0</v>
      </c>
      <c r="D8">
        <v>10.66145348548889</v>
      </c>
      <c r="E8">
        <f>ROUND(SUM(recreation_claude_v2_5!E8,recreation_claude_v2_4!E8,recreation_claude_v2_3!E8,recreation_claude_v2_2!E8,recreation_claude_v2_1!E8)/COUNT(recreation_claude_v2_5!E8,recreation_claude_v2_4!E8,recreation_claude_v2_3!E8,recreation_claude_v2_2!E8,recreation_claude_v2_1!E8),0)</f>
        <v>1</v>
      </c>
      <c r="F8">
        <f>IF($E8 = 1,ROUND(SUM(recreation_claude_v2_5!F8,recreation_claude_v2_4!F8,recreation_claude_v2_3!F8,recreation_claude_v2_2!F8,recreation_claude_v2_1!F8)/COUNT(recreation_claude_v2_5!F8,recreation_claude_v2_4!F8,recreation_claude_v2_3!F8,recreation_claude_v2_2!F8,recreation_claude_v2_1!F8),0),"NA")</f>
        <v>1</v>
      </c>
      <c r="G8">
        <f>IF($E8 = 1,ROUND(SUM(recreation_claude_v2_5!G8,recreation_claude_v2_4!G8,recreation_claude_v2_3!G8,recreation_claude_v2_2!G8,recreation_claude_v2_1!G8)/COUNT(recreation_claude_v2_5!G8,recreation_claude_v2_4!G8,recreation_claude_v2_3!G8,recreation_claude_v2_2!G8,recreation_claude_v2_1!G8),0),"NA")</f>
        <v>1</v>
      </c>
      <c r="H8">
        <f>IF($E8 = 1,ROUND(SUM(recreation_claude_v2_5!I8,recreation_claude_v2_4!I8,recreation_claude_v2_3!I8,recreation_claude_v2_2!I8,recreation_claude_v2_1!I8)/COUNT(recreation_claude_v2_5!I8,recreation_claude_v2_4!I8,recreation_claude_v2_3!I8,recreation_claude_v2_2!I8,recreation_claude_v2_1!I8),0),"NA")</f>
        <v>1</v>
      </c>
      <c r="I8">
        <f>IF($F8 = 1,ROUND(SUM(recreation_claude_v2_5!J8,recreation_claude_v2_4!J8,recreation_claude_v2_3!J8,recreation_claude_v2_2!J8,recreation_claude_v2_1!J8)/COUNT(recreation_claude_v2_5!J8,recreation_claude_v2_4!J8,recreation_claude_v2_3!J8,recreation_claude_v2_2!J8,recreation_claude_v2_1!J8),0),"NA")</f>
        <v>1</v>
      </c>
      <c r="J8">
        <f>IF($E8 = 1,ROUND(SUM(recreation_claude_v2_5!K8,recreation_claude_v2_4!K8,recreation_claude_v2_3!K8,recreation_claude_v2_2!K8,recreation_claude_v2_1!K8)/COUNT(recreation_claude_v2_5!K8,recreation_claude_v2_4!K8,recreation_claude_v2_3!K8,recreation_claude_v2_2!K8,recreation_claude_v2_1!K8),0),"NA")</f>
        <v>1</v>
      </c>
      <c r="K8">
        <f>IF(AND($F8 = 1, $G8 = 1),ROUND(SUM(recreation_claude_v2_5!L8,recreation_claude_v2_4!L8,recreation_claude_v2_3!L8,recreation_claude_v2_2!L8,recreation_claude_v2_1!L8)/COUNT(recreation_claude_v2_5!L8,recreation_claude_v2_4!L8,recreation_claude_v2_3!L8,recreation_claude_v2_2!L8,recreation_claude_v2_1!L8),0),"NA")</f>
        <v>1</v>
      </c>
      <c r="L8">
        <f>IF($E8 = 1,ROUND(SUM(recreation_claude_v2_5!L8,recreation_claude_v2_4!L8,recreation_claude_v2_3!L8,recreation_claude_v2_2!L8,recreation_claude_v2_1!L8)/COUNT(recreation_claude_v2_5!L8,recreation_claude_v2_4!L8,recreation_claude_v2_3!L8,recreation_claude_v2_2!L8,recreation_claude_v2_1!L8),0),"NA")</f>
        <v>1</v>
      </c>
      <c r="M8">
        <f>IF($E8 = 1,ROUND(SUM(recreation_claude_v2_5!M8,recreation_claude_v2_4!M8,recreation_claude_v2_3!M8,recreation_claude_v2_2!M8,recreation_claude_v2_1!M8)/COUNT(recreation_claude_v2_5!M8,recreation_claude_v2_4!M8,recreation_claude_v2_3!M8,recreation_claude_v2_2!M8,recreation_claude_v2_1!M8),0),"NA")</f>
        <v>1</v>
      </c>
      <c r="N8">
        <f>IF($E8 = 1,ROUND(SUM(recreation_claude_v2_5!N8,recreation_claude_v2_4!N8,recreation_claude_v2_3!N8,recreation_claude_v2_2!N8,recreation_claude_v2_1!N8)/COUNT(recreation_claude_v2_5!N8,recreation_claude_v2_4!N8,recreation_claude_v2_3!N8,recreation_claude_v2_2!N8,recreation_claude_v2_1!N8),0),"NA")</f>
        <v>1</v>
      </c>
      <c r="O8">
        <f>IF($E8 = 1,ROUND(SUM(recreation_claude_v2_5!O8,recreation_claude_v2_4!O8,recreation_claude_v2_3!O8,recreation_claude_v2_2!O8,recreation_claude_v2_1!O8)/COUNT(recreation_claude_v2_5!O8,recreation_claude_v2_4!O8,recreation_claude_v2_3!O8,recreation_claude_v2_2!O8,recreation_claude_v2_1!O8),0),"NA")</f>
        <v>1</v>
      </c>
    </row>
    <row r="9" spans="1:15" x14ac:dyDescent="0.25">
      <c r="A9" t="s">
        <v>16</v>
      </c>
      <c r="B9" t="s">
        <v>27</v>
      </c>
      <c r="C9">
        <v>0</v>
      </c>
      <c r="D9">
        <v>8.7032055854797363</v>
      </c>
      <c r="E9">
        <f>ROUND(SUM(recreation_claude_v2_5!E9,recreation_claude_v2_4!E9,recreation_claude_v2_3!E9,recreation_claude_v2_2!E9,recreation_claude_v2_1!E9)/COUNT(recreation_claude_v2_5!E9,recreation_claude_v2_4!E9,recreation_claude_v2_3!E9,recreation_claude_v2_2!E9,recreation_claude_v2_1!E9),0)</f>
        <v>1</v>
      </c>
      <c r="F9">
        <f>IF($E9 = 1,ROUND(SUM(recreation_claude_v2_5!F9,recreation_claude_v2_4!F9,recreation_claude_v2_3!F9,recreation_claude_v2_2!F9,recreation_claude_v2_1!F9)/COUNT(recreation_claude_v2_5!F9,recreation_claude_v2_4!F9,recreation_claude_v2_3!F9,recreation_claude_v2_2!F9,recreation_claude_v2_1!F9),0),"NA")</f>
        <v>1</v>
      </c>
      <c r="G9">
        <f>IF($E9 = 1,ROUND(SUM(recreation_claude_v2_5!G9,recreation_claude_v2_4!G9,recreation_claude_v2_3!G9,recreation_claude_v2_2!G9,recreation_claude_v2_1!G9)/COUNT(recreation_claude_v2_5!G9,recreation_claude_v2_4!G9,recreation_claude_v2_3!G9,recreation_claude_v2_2!G9,recreation_claude_v2_1!G9),0),"NA")</f>
        <v>1</v>
      </c>
      <c r="H9">
        <f>IF($E9 = 1,ROUND(SUM(recreation_claude_v2_5!I9,recreation_claude_v2_4!I9,recreation_claude_v2_3!I9,recreation_claude_v2_2!I9,recreation_claude_v2_1!I9)/COUNT(recreation_claude_v2_5!I9,recreation_claude_v2_4!I9,recreation_claude_v2_3!I9,recreation_claude_v2_2!I9,recreation_claude_v2_1!I9),0),"NA")</f>
        <v>1</v>
      </c>
      <c r="I9">
        <f>IF($F9 = 1,ROUND(SUM(recreation_claude_v2_5!J9,recreation_claude_v2_4!J9,recreation_claude_v2_3!J9,recreation_claude_v2_2!J9,recreation_claude_v2_1!J9)/COUNT(recreation_claude_v2_5!J9,recreation_claude_v2_4!J9,recreation_claude_v2_3!J9,recreation_claude_v2_2!J9,recreation_claude_v2_1!J9),0),"NA")</f>
        <v>1</v>
      </c>
      <c r="J9">
        <f>IF($E9 = 1,ROUND(SUM(recreation_claude_v2_5!K9,recreation_claude_v2_4!K9,recreation_claude_v2_3!K9,recreation_claude_v2_2!K9,recreation_claude_v2_1!K9)/COUNT(recreation_claude_v2_5!K9,recreation_claude_v2_4!K9,recreation_claude_v2_3!K9,recreation_claude_v2_2!K9,recreation_claude_v2_1!K9),0),"NA")</f>
        <v>1</v>
      </c>
      <c r="K9">
        <f>IF(AND($F9 = 1, $G9 = 1),ROUND(SUM(recreation_claude_v2_5!L9,recreation_claude_v2_4!L9,recreation_claude_v2_3!L9,recreation_claude_v2_2!L9,recreation_claude_v2_1!L9)/COUNT(recreation_claude_v2_5!L9,recreation_claude_v2_4!L9,recreation_claude_v2_3!L9,recreation_claude_v2_2!L9,recreation_claude_v2_1!L9),0),"NA")</f>
        <v>1</v>
      </c>
      <c r="L9">
        <f>IF($E9 = 1,ROUND(SUM(recreation_claude_v2_5!L9,recreation_claude_v2_4!L9,recreation_claude_v2_3!L9,recreation_claude_v2_2!L9,recreation_claude_v2_1!L9)/COUNT(recreation_claude_v2_5!L9,recreation_claude_v2_4!L9,recreation_claude_v2_3!L9,recreation_claude_v2_2!L9,recreation_claude_v2_1!L9),0),"NA")</f>
        <v>1</v>
      </c>
      <c r="M9">
        <f>IF($E9 = 1,ROUND(SUM(recreation_claude_v2_5!M9,recreation_claude_v2_4!M9,recreation_claude_v2_3!M9,recreation_claude_v2_2!M9,recreation_claude_v2_1!M9)/COUNT(recreation_claude_v2_5!M9,recreation_claude_v2_4!M9,recreation_claude_v2_3!M9,recreation_claude_v2_2!M9,recreation_claude_v2_1!M9),0),"NA")</f>
        <v>1</v>
      </c>
      <c r="N9">
        <f>IF($E9 = 1,ROUND(SUM(recreation_claude_v2_5!N9,recreation_claude_v2_4!N9,recreation_claude_v2_3!N9,recreation_claude_v2_2!N9,recreation_claude_v2_1!N9)/COUNT(recreation_claude_v2_5!N9,recreation_claude_v2_4!N9,recreation_claude_v2_3!N9,recreation_claude_v2_2!N9,recreation_claude_v2_1!N9),0),"NA")</f>
        <v>1</v>
      </c>
      <c r="O9">
        <f>IF($E9 = 1,ROUND(SUM(recreation_claude_v2_5!O9,recreation_claude_v2_4!O9,recreation_claude_v2_3!O9,recreation_claude_v2_2!O9,recreation_claude_v2_1!O9)/COUNT(recreation_claude_v2_5!O9,recreation_claude_v2_4!O9,recreation_claude_v2_3!O9,recreation_claude_v2_2!O9,recreation_claude_v2_1!O9),0),"NA")</f>
        <v>1</v>
      </c>
    </row>
    <row r="10" spans="1:15" x14ac:dyDescent="0.25">
      <c r="A10" t="s">
        <v>16</v>
      </c>
      <c r="B10" t="s">
        <v>28</v>
      </c>
      <c r="C10">
        <v>0</v>
      </c>
      <c r="D10">
        <v>2.9548335075378418</v>
      </c>
      <c r="E10">
        <f>ROUND(SUM(recreation_claude_v2_5!E10,recreation_claude_v2_4!E10,recreation_claude_v2_3!E10,recreation_claude_v2_2!E10,recreation_claude_v2_1!E10)/COUNT(recreation_claude_v2_5!E10,recreation_claude_v2_4!E10,recreation_claude_v2_3!E10,recreation_claude_v2_2!E10,recreation_claude_v2_1!E10),0)</f>
        <v>1</v>
      </c>
      <c r="F10">
        <f>IF($E10 = 1,ROUND(SUM(recreation_claude_v2_5!F10,recreation_claude_v2_4!F10,recreation_claude_v2_3!F10,recreation_claude_v2_2!F10,recreation_claude_v2_1!F10)/COUNT(recreation_claude_v2_5!F10,recreation_claude_v2_4!F10,recreation_claude_v2_3!F10,recreation_claude_v2_2!F10,recreation_claude_v2_1!F10),0),"NA")</f>
        <v>1</v>
      </c>
      <c r="G10">
        <f>IF($E10 = 1,ROUND(SUM(recreation_claude_v2_5!G10,recreation_claude_v2_4!G10,recreation_claude_v2_3!G10,recreation_claude_v2_2!G10,recreation_claude_v2_1!G10)/COUNT(recreation_claude_v2_5!G10,recreation_claude_v2_4!G10,recreation_claude_v2_3!G10,recreation_claude_v2_2!G10,recreation_claude_v2_1!G10),0),"NA")</f>
        <v>1</v>
      </c>
      <c r="H10">
        <f>IF($E10 = 1,ROUND(SUM(recreation_claude_v2_5!I10,recreation_claude_v2_4!I10,recreation_claude_v2_3!I10,recreation_claude_v2_2!I10,recreation_claude_v2_1!I10)/COUNT(recreation_claude_v2_5!I10,recreation_claude_v2_4!I10,recreation_claude_v2_3!I10,recreation_claude_v2_2!I10,recreation_claude_v2_1!I10),0),"NA")</f>
        <v>1</v>
      </c>
      <c r="I10">
        <f>IF($F10 = 1,ROUND(SUM(recreation_claude_v2_5!J10,recreation_claude_v2_4!J10,recreation_claude_v2_3!J10,recreation_claude_v2_2!J10,recreation_claude_v2_1!J10)/COUNT(recreation_claude_v2_5!J10,recreation_claude_v2_4!J10,recreation_claude_v2_3!J10,recreation_claude_v2_2!J10,recreation_claude_v2_1!J10),0),"NA")</f>
        <v>1</v>
      </c>
      <c r="J10">
        <f>IF($E10 = 1,ROUND(SUM(recreation_claude_v2_5!K10,recreation_claude_v2_4!K10,recreation_claude_v2_3!K10,recreation_claude_v2_2!K10,recreation_claude_v2_1!K10)/COUNT(recreation_claude_v2_5!K10,recreation_claude_v2_4!K10,recreation_claude_v2_3!K10,recreation_claude_v2_2!K10,recreation_claude_v2_1!K10),0),"NA")</f>
        <v>1</v>
      </c>
      <c r="K10">
        <f>IF(AND($F10 = 1, $G10 = 1),ROUND(SUM(recreation_claude_v2_5!L10,recreation_claude_v2_4!L10,recreation_claude_v2_3!L10,recreation_claude_v2_2!L10,recreation_claude_v2_1!L10)/COUNT(recreation_claude_v2_5!L10,recreation_claude_v2_4!L10,recreation_claude_v2_3!L10,recreation_claude_v2_2!L10,recreation_claude_v2_1!L10),0),"NA")</f>
        <v>1</v>
      </c>
      <c r="L10">
        <f>IF($E10 = 1,ROUND(SUM(recreation_claude_v2_5!L10,recreation_claude_v2_4!L10,recreation_claude_v2_3!L10,recreation_claude_v2_2!L10,recreation_claude_v2_1!L10)/COUNT(recreation_claude_v2_5!L10,recreation_claude_v2_4!L10,recreation_claude_v2_3!L10,recreation_claude_v2_2!L10,recreation_claude_v2_1!L10),0),"NA")</f>
        <v>1</v>
      </c>
      <c r="M10">
        <f>IF($E10 = 1,ROUND(SUM(recreation_claude_v2_5!M10,recreation_claude_v2_4!M10,recreation_claude_v2_3!M10,recreation_claude_v2_2!M10,recreation_claude_v2_1!M10)/COUNT(recreation_claude_v2_5!M10,recreation_claude_v2_4!M10,recreation_claude_v2_3!M10,recreation_claude_v2_2!M10,recreation_claude_v2_1!M10),0),"NA")</f>
        <v>1</v>
      </c>
      <c r="N10">
        <f>IF($E10 = 1,ROUND(SUM(recreation_claude_v2_5!N10,recreation_claude_v2_4!N10,recreation_claude_v2_3!N10,recreation_claude_v2_2!N10,recreation_claude_v2_1!N10)/COUNT(recreation_claude_v2_5!N10,recreation_claude_v2_4!N10,recreation_claude_v2_3!N10,recreation_claude_v2_2!N10,recreation_claude_v2_1!N10),0),"NA")</f>
        <v>1</v>
      </c>
      <c r="O10">
        <f>IF($E10 = 1,ROUND(SUM(recreation_claude_v2_5!O10,recreation_claude_v2_4!O10,recreation_claude_v2_3!O10,recreation_claude_v2_2!O10,recreation_claude_v2_1!O10)/COUNT(recreation_claude_v2_5!O10,recreation_claude_v2_4!O10,recreation_claude_v2_3!O10,recreation_claude_v2_2!O10,recreation_claude_v2_1!O10),0),"NA")</f>
        <v>1</v>
      </c>
    </row>
    <row r="11" spans="1:15" x14ac:dyDescent="0.25">
      <c r="A11" t="s">
        <v>16</v>
      </c>
      <c r="B11" t="s">
        <v>29</v>
      </c>
      <c r="C11">
        <v>0</v>
      </c>
      <c r="D11">
        <v>9.9386742115020752</v>
      </c>
      <c r="E11">
        <f>ROUND(SUM(recreation_claude_v2_5!E11,recreation_claude_v2_4!E11,recreation_claude_v2_3!E11,recreation_claude_v2_2!E11,recreation_claude_v2_1!E11)/COUNT(recreation_claude_v2_5!E11,recreation_claude_v2_4!E11,recreation_claude_v2_3!E11,recreation_claude_v2_2!E11,recreation_claude_v2_1!E11),0)</f>
        <v>1</v>
      </c>
      <c r="F11">
        <f>IF($E11 = 1,ROUND(SUM(recreation_claude_v2_5!F11,recreation_claude_v2_4!F11,recreation_claude_v2_3!F11,recreation_claude_v2_2!F11,recreation_claude_v2_1!F11)/COUNT(recreation_claude_v2_5!F11,recreation_claude_v2_4!F11,recreation_claude_v2_3!F11,recreation_claude_v2_2!F11,recreation_claude_v2_1!F11),0),"NA")</f>
        <v>1</v>
      </c>
      <c r="G11">
        <f>IF($E11 = 1,ROUND(SUM(recreation_claude_v2_5!G11,recreation_claude_v2_4!G11,recreation_claude_v2_3!G11,recreation_claude_v2_2!G11,recreation_claude_v2_1!G11)/COUNT(recreation_claude_v2_5!G11,recreation_claude_v2_4!G11,recreation_claude_v2_3!G11,recreation_claude_v2_2!G11,recreation_claude_v2_1!G11),0),"NA")</f>
        <v>1</v>
      </c>
      <c r="H11">
        <f>IF($E11 = 1,ROUND(SUM(recreation_claude_v2_5!I11,recreation_claude_v2_4!I11,recreation_claude_v2_3!I11,recreation_claude_v2_2!I11,recreation_claude_v2_1!I11)/COUNT(recreation_claude_v2_5!I11,recreation_claude_v2_4!I11,recreation_claude_v2_3!I11,recreation_claude_v2_2!I11,recreation_claude_v2_1!I11),0),"NA")</f>
        <v>1</v>
      </c>
      <c r="I11">
        <f>IF($F11 = 1,ROUND(SUM(recreation_claude_v2_5!J11,recreation_claude_v2_4!J11,recreation_claude_v2_3!J11,recreation_claude_v2_2!J11,recreation_claude_v2_1!J11)/COUNT(recreation_claude_v2_5!J11,recreation_claude_v2_4!J11,recreation_claude_v2_3!J11,recreation_claude_v2_2!J11,recreation_claude_v2_1!J11),0),"NA")</f>
        <v>1</v>
      </c>
      <c r="J11">
        <f>IF($E11 = 1,ROUND(SUM(recreation_claude_v2_5!K11,recreation_claude_v2_4!K11,recreation_claude_v2_3!K11,recreation_claude_v2_2!K11,recreation_claude_v2_1!K11)/COUNT(recreation_claude_v2_5!K11,recreation_claude_v2_4!K11,recreation_claude_v2_3!K11,recreation_claude_v2_2!K11,recreation_claude_v2_1!K11),0),"NA")</f>
        <v>1</v>
      </c>
      <c r="K11">
        <f>IF(AND($F11 = 1, $G11 = 1),ROUND(SUM(recreation_claude_v2_5!L11,recreation_claude_v2_4!L11,recreation_claude_v2_3!L11,recreation_claude_v2_2!L11,recreation_claude_v2_1!L11)/COUNT(recreation_claude_v2_5!L11,recreation_claude_v2_4!L11,recreation_claude_v2_3!L11,recreation_claude_v2_2!L11,recreation_claude_v2_1!L11),0),"NA")</f>
        <v>1</v>
      </c>
      <c r="L11">
        <f>IF($E11 = 1,ROUND(SUM(recreation_claude_v2_5!L11,recreation_claude_v2_4!L11,recreation_claude_v2_3!L11,recreation_claude_v2_2!L11,recreation_claude_v2_1!L11)/COUNT(recreation_claude_v2_5!L11,recreation_claude_v2_4!L11,recreation_claude_v2_3!L11,recreation_claude_v2_2!L11,recreation_claude_v2_1!L11),0),"NA")</f>
        <v>1</v>
      </c>
      <c r="M11">
        <f>IF($E11 = 1,ROUND(SUM(recreation_claude_v2_5!M11,recreation_claude_v2_4!M11,recreation_claude_v2_3!M11,recreation_claude_v2_2!M11,recreation_claude_v2_1!M11)/COUNT(recreation_claude_v2_5!M11,recreation_claude_v2_4!M11,recreation_claude_v2_3!M11,recreation_claude_v2_2!M11,recreation_claude_v2_1!M11),0),"NA")</f>
        <v>1</v>
      </c>
      <c r="N11">
        <f>IF($E11 = 1,ROUND(SUM(recreation_claude_v2_5!N11,recreation_claude_v2_4!N11,recreation_claude_v2_3!N11,recreation_claude_v2_2!N11,recreation_claude_v2_1!N11)/COUNT(recreation_claude_v2_5!N11,recreation_claude_v2_4!N11,recreation_claude_v2_3!N11,recreation_claude_v2_2!N11,recreation_claude_v2_1!N11),0),"NA")</f>
        <v>1</v>
      </c>
      <c r="O11">
        <f>IF($E11 = 1,ROUND(SUM(recreation_claude_v2_5!O11,recreation_claude_v2_4!O11,recreation_claude_v2_3!O11,recreation_claude_v2_2!O11,recreation_claude_v2_1!O11)/COUNT(recreation_claude_v2_5!O11,recreation_claude_v2_4!O11,recreation_claude_v2_3!O11,recreation_claude_v2_2!O11,recreation_claude_v2_1!O11),0),"NA")</f>
        <v>1</v>
      </c>
    </row>
    <row r="12" spans="1:15" x14ac:dyDescent="0.25">
      <c r="A12" t="s">
        <v>16</v>
      </c>
      <c r="B12" t="s">
        <v>30</v>
      </c>
      <c r="C12">
        <v>0</v>
      </c>
      <c r="D12">
        <v>11.66734147071838</v>
      </c>
      <c r="E12">
        <f>ROUND(SUM(recreation_claude_v2_5!E12,recreation_claude_v2_4!E12,recreation_claude_v2_3!E12,recreation_claude_v2_2!E12,recreation_claude_v2_1!E12)/COUNT(recreation_claude_v2_5!E12,recreation_claude_v2_4!E12,recreation_claude_v2_3!E12,recreation_claude_v2_2!E12,recreation_claude_v2_1!E12),0)</f>
        <v>0</v>
      </c>
      <c r="F12" t="str">
        <f>IF($E12 = 1,ROUND(SUM(recreation_claude_v2_5!F12,recreation_claude_v2_4!F12,recreation_claude_v2_3!F12,recreation_claude_v2_2!F12,recreation_claude_v2_1!F12)/COUNT(recreation_claude_v2_5!F12,recreation_claude_v2_4!F12,recreation_claude_v2_3!F12,recreation_claude_v2_2!F12,recreation_claude_v2_1!F12),0),"NA")</f>
        <v>NA</v>
      </c>
      <c r="G12" t="str">
        <f>IF($E12 = 1,ROUND(SUM(recreation_claude_v2_5!G12,recreation_claude_v2_4!G12,recreation_claude_v2_3!G12,recreation_claude_v2_2!G12,recreation_claude_v2_1!G12)/COUNT(recreation_claude_v2_5!G12,recreation_claude_v2_4!G12,recreation_claude_v2_3!G12,recreation_claude_v2_2!G12,recreation_claude_v2_1!G12),0),"NA")</f>
        <v>NA</v>
      </c>
      <c r="H12" t="str">
        <f>IF($E12 = 1,ROUND(SUM(recreation_claude_v2_5!I12,recreation_claude_v2_4!I12,recreation_claude_v2_3!I12,recreation_claude_v2_2!I12,recreation_claude_v2_1!I12)/COUNT(recreation_claude_v2_5!I12,recreation_claude_v2_4!I12,recreation_claude_v2_3!I12,recreation_claude_v2_2!I12,recreation_claude_v2_1!I12),0),"NA")</f>
        <v>NA</v>
      </c>
      <c r="I12" t="str">
        <f>IF($F12 = 1,ROUND(SUM(recreation_claude_v2_5!J12,recreation_claude_v2_4!J12,recreation_claude_v2_3!J12,recreation_claude_v2_2!J12,recreation_claude_v2_1!J12)/COUNT(recreation_claude_v2_5!J12,recreation_claude_v2_4!J12,recreation_claude_v2_3!J12,recreation_claude_v2_2!J12,recreation_claude_v2_1!J12),0),"NA")</f>
        <v>NA</v>
      </c>
      <c r="J12" t="str">
        <f>IF($E12 = 1,ROUND(SUM(recreation_claude_v2_5!K12,recreation_claude_v2_4!K12,recreation_claude_v2_3!K12,recreation_claude_v2_2!K12,recreation_claude_v2_1!K12)/COUNT(recreation_claude_v2_5!K12,recreation_claude_v2_4!K12,recreation_claude_v2_3!K12,recreation_claude_v2_2!K12,recreation_claude_v2_1!K12),0),"NA")</f>
        <v>NA</v>
      </c>
      <c r="K12" t="str">
        <f>IF(AND($F12 = 1, $G12 = 1),ROUND(SUM(recreation_claude_v2_5!L12,recreation_claude_v2_4!L12,recreation_claude_v2_3!L12,recreation_claude_v2_2!L12,recreation_claude_v2_1!L12)/COUNT(recreation_claude_v2_5!L12,recreation_claude_v2_4!L12,recreation_claude_v2_3!L12,recreation_claude_v2_2!L12,recreation_claude_v2_1!L12),0),"NA")</f>
        <v>NA</v>
      </c>
      <c r="L12" t="str">
        <f>IF($E12 = 1,ROUND(SUM(recreation_claude_v2_5!L12,recreation_claude_v2_4!L12,recreation_claude_v2_3!L12,recreation_claude_v2_2!L12,recreation_claude_v2_1!L12)/COUNT(recreation_claude_v2_5!L12,recreation_claude_v2_4!L12,recreation_claude_v2_3!L12,recreation_claude_v2_2!L12,recreation_claude_v2_1!L12),0),"NA")</f>
        <v>NA</v>
      </c>
      <c r="M12" t="str">
        <f>IF($E12 = 1,ROUND(SUM(recreation_claude_v2_5!M12,recreation_claude_v2_4!M12,recreation_claude_v2_3!M12,recreation_claude_v2_2!M12,recreation_claude_v2_1!M12)/COUNT(recreation_claude_v2_5!M12,recreation_claude_v2_4!M12,recreation_claude_v2_3!M12,recreation_claude_v2_2!M12,recreation_claude_v2_1!M12),0),"NA")</f>
        <v>NA</v>
      </c>
      <c r="N12" t="str">
        <f>IF($E12 = 1,ROUND(SUM(recreation_claude_v2_5!N12,recreation_claude_v2_4!N12,recreation_claude_v2_3!N12,recreation_claude_v2_2!N12,recreation_claude_v2_1!N12)/COUNT(recreation_claude_v2_5!N12,recreation_claude_v2_4!N12,recreation_claude_v2_3!N12,recreation_claude_v2_2!N12,recreation_claude_v2_1!N12),0),"NA")</f>
        <v>NA</v>
      </c>
      <c r="O12" t="str">
        <f>IF($E12 = 1,ROUND(SUM(recreation_claude_v2_5!O12,recreation_claude_v2_4!O12,recreation_claude_v2_3!O12,recreation_claude_v2_2!O12,recreation_claude_v2_1!O12)/COUNT(recreation_claude_v2_5!O12,recreation_claude_v2_4!O12,recreation_claude_v2_3!O12,recreation_claude_v2_2!O12,recreation_claude_v2_1!O12),0),"NA")</f>
        <v>NA</v>
      </c>
    </row>
    <row r="13" spans="1:15" x14ac:dyDescent="0.25">
      <c r="A13" t="s">
        <v>16</v>
      </c>
      <c r="B13" t="s">
        <v>32</v>
      </c>
      <c r="C13">
        <v>0</v>
      </c>
      <c r="D13">
        <v>10.782790422439581</v>
      </c>
      <c r="E13">
        <f>ROUND(SUM(recreation_claude_v2_5!E13,recreation_claude_v2_4!E13,recreation_claude_v2_3!E13,recreation_claude_v2_2!E13,recreation_claude_v2_1!E13)/COUNT(recreation_claude_v2_5!E13,recreation_claude_v2_4!E13,recreation_claude_v2_3!E13,recreation_claude_v2_2!E13,recreation_claude_v2_1!E13),0)</f>
        <v>1</v>
      </c>
      <c r="F13">
        <f>IF($E13 = 1,ROUND(SUM(recreation_claude_v2_5!F13,recreation_claude_v2_4!F13,recreation_claude_v2_3!F13,recreation_claude_v2_2!F13,recreation_claude_v2_1!F13)/COUNT(recreation_claude_v2_5!F13,recreation_claude_v2_4!F13,recreation_claude_v2_3!F13,recreation_claude_v2_2!F13,recreation_claude_v2_1!F13),0),"NA")</f>
        <v>1</v>
      </c>
      <c r="G13">
        <f>IF($E13 = 1,ROUND(SUM(recreation_claude_v2_5!G13,recreation_claude_v2_4!G13,recreation_claude_v2_3!G13,recreation_claude_v2_2!G13,recreation_claude_v2_1!G13)/COUNT(recreation_claude_v2_5!G13,recreation_claude_v2_4!G13,recreation_claude_v2_3!G13,recreation_claude_v2_2!G13,recreation_claude_v2_1!G13),0),"NA")</f>
        <v>1</v>
      </c>
      <c r="H13">
        <f>IF($E13 = 1,ROUND(SUM(recreation_claude_v2_5!I13,recreation_claude_v2_4!I13,recreation_claude_v2_3!I13,recreation_claude_v2_2!I13,recreation_claude_v2_1!I13)/COUNT(recreation_claude_v2_5!I13,recreation_claude_v2_4!I13,recreation_claude_v2_3!I13,recreation_claude_v2_2!I13,recreation_claude_v2_1!I13),0),"NA")</f>
        <v>1</v>
      </c>
      <c r="I13">
        <f>IF($F13 = 1,ROUND(SUM(recreation_claude_v2_5!J13,recreation_claude_v2_4!J13,recreation_claude_v2_3!J13,recreation_claude_v2_2!J13,recreation_claude_v2_1!J13)/COUNT(recreation_claude_v2_5!J13,recreation_claude_v2_4!J13,recreation_claude_v2_3!J13,recreation_claude_v2_2!J13,recreation_claude_v2_1!J13),0),"NA")</f>
        <v>1</v>
      </c>
      <c r="J13">
        <f>IF($E13 = 1,ROUND(SUM(recreation_claude_v2_5!K13,recreation_claude_v2_4!K13,recreation_claude_v2_3!K13,recreation_claude_v2_2!K13,recreation_claude_v2_1!K13)/COUNT(recreation_claude_v2_5!K13,recreation_claude_v2_4!K13,recreation_claude_v2_3!K13,recreation_claude_v2_2!K13,recreation_claude_v2_1!K13),0),"NA")</f>
        <v>1</v>
      </c>
      <c r="K13">
        <f>IF(AND($F13 = 1, $G13 = 1),ROUND(SUM(recreation_claude_v2_5!L13,recreation_claude_v2_4!L13,recreation_claude_v2_3!L13,recreation_claude_v2_2!L13,recreation_claude_v2_1!L13)/COUNT(recreation_claude_v2_5!L13,recreation_claude_v2_4!L13,recreation_claude_v2_3!L13,recreation_claude_v2_2!L13,recreation_claude_v2_1!L13),0),"NA")</f>
        <v>1</v>
      </c>
      <c r="L13">
        <f>IF($E13 = 1,ROUND(SUM(recreation_claude_v2_5!L13,recreation_claude_v2_4!L13,recreation_claude_v2_3!L13,recreation_claude_v2_2!L13,recreation_claude_v2_1!L13)/COUNT(recreation_claude_v2_5!L13,recreation_claude_v2_4!L13,recreation_claude_v2_3!L13,recreation_claude_v2_2!L13,recreation_claude_v2_1!L13),0),"NA")</f>
        <v>1</v>
      </c>
      <c r="M13">
        <f>IF($E13 = 1,ROUND(SUM(recreation_claude_v2_5!M13,recreation_claude_v2_4!M13,recreation_claude_v2_3!M13,recreation_claude_v2_2!M13,recreation_claude_v2_1!M13)/COUNT(recreation_claude_v2_5!M13,recreation_claude_v2_4!M13,recreation_claude_v2_3!M13,recreation_claude_v2_2!M13,recreation_claude_v2_1!M13),0),"NA")</f>
        <v>1</v>
      </c>
      <c r="N13">
        <f>IF($E13 = 1,ROUND(SUM(recreation_claude_v2_5!N13,recreation_claude_v2_4!N13,recreation_claude_v2_3!N13,recreation_claude_v2_2!N13,recreation_claude_v2_1!N13)/COUNT(recreation_claude_v2_5!N13,recreation_claude_v2_4!N13,recreation_claude_v2_3!N13,recreation_claude_v2_2!N13,recreation_claude_v2_1!N13),0),"NA")</f>
        <v>1</v>
      </c>
      <c r="O13">
        <f>IF($E13 = 1,ROUND(SUM(recreation_claude_v2_5!O13,recreation_claude_v2_4!O13,recreation_claude_v2_3!O13,recreation_claude_v2_2!O13,recreation_claude_v2_1!O13)/COUNT(recreation_claude_v2_5!O13,recreation_claude_v2_4!O13,recreation_claude_v2_3!O13,recreation_claude_v2_2!O13,recreation_claude_v2_1!O13),0),"NA")</f>
        <v>1</v>
      </c>
    </row>
    <row r="14" spans="1:15" x14ac:dyDescent="0.25">
      <c r="A14" t="s">
        <v>16</v>
      </c>
      <c r="B14" t="s">
        <v>33</v>
      </c>
      <c r="C14">
        <v>0</v>
      </c>
      <c r="D14">
        <v>11.96278023719788</v>
      </c>
      <c r="E14">
        <f>ROUND(SUM(recreation_claude_v2_5!E14,recreation_claude_v2_4!E14,recreation_claude_v2_3!E14,recreation_claude_v2_2!E14,recreation_claude_v2_1!E14)/COUNT(recreation_claude_v2_5!E14,recreation_claude_v2_4!E14,recreation_claude_v2_3!E14,recreation_claude_v2_2!E14,recreation_claude_v2_1!E14),0)</f>
        <v>1</v>
      </c>
      <c r="F14">
        <f>IF($E14 = 1,ROUND(SUM(recreation_claude_v2_5!F14,recreation_claude_v2_4!F14,recreation_claude_v2_3!F14,recreation_claude_v2_2!F14,recreation_claude_v2_1!F14)/COUNT(recreation_claude_v2_5!F14,recreation_claude_v2_4!F14,recreation_claude_v2_3!F14,recreation_claude_v2_2!F14,recreation_claude_v2_1!F14),0),"NA")</f>
        <v>0</v>
      </c>
      <c r="G14">
        <f>IF($E14 = 1,ROUND(SUM(recreation_claude_v2_5!G14,recreation_claude_v2_4!G14,recreation_claude_v2_3!G14,recreation_claude_v2_2!G14,recreation_claude_v2_1!G14)/COUNT(recreation_claude_v2_5!G14,recreation_claude_v2_4!G14,recreation_claude_v2_3!G14,recreation_claude_v2_2!G14,recreation_claude_v2_1!G14),0),"NA")</f>
        <v>1</v>
      </c>
      <c r="H14">
        <f>IF($E14 = 1,ROUND(SUM(recreation_claude_v2_5!I14,recreation_claude_v2_4!I14,recreation_claude_v2_3!I14,recreation_claude_v2_2!I14,recreation_claude_v2_1!I14)/COUNT(recreation_claude_v2_5!I14,recreation_claude_v2_4!I14,recreation_claude_v2_3!I14,recreation_claude_v2_2!I14,recreation_claude_v2_1!I14),0),"NA")</f>
        <v>1</v>
      </c>
      <c r="I14" t="str">
        <f>IF($F14 = 1,ROUND(SUM(recreation_claude_v2_5!J14,recreation_claude_v2_4!J14,recreation_claude_v2_3!J14,recreation_claude_v2_2!J14,recreation_claude_v2_1!J14)/COUNT(recreation_claude_v2_5!J14,recreation_claude_v2_4!J14,recreation_claude_v2_3!J14,recreation_claude_v2_2!J14,recreation_claude_v2_1!J14),0),"NA")</f>
        <v>NA</v>
      </c>
      <c r="J14">
        <f>IF($E14 = 1,ROUND(SUM(recreation_claude_v2_5!K14,recreation_claude_v2_4!K14,recreation_claude_v2_3!K14,recreation_claude_v2_2!K14,recreation_claude_v2_1!K14)/COUNT(recreation_claude_v2_5!K14,recreation_claude_v2_4!K14,recreation_claude_v2_3!K14,recreation_claude_v2_2!K14,recreation_claude_v2_1!K14),0),"NA")</f>
        <v>1</v>
      </c>
      <c r="K14" t="str">
        <f>IF(AND($F14 = 1, $G14 = 1),ROUND(SUM(recreation_claude_v2_5!L14,recreation_claude_v2_4!L14,recreation_claude_v2_3!L14,recreation_claude_v2_2!L14,recreation_claude_v2_1!L14)/COUNT(recreation_claude_v2_5!L14,recreation_claude_v2_4!L14,recreation_claude_v2_3!L14,recreation_claude_v2_2!L14,recreation_claude_v2_1!L14),0),"NA")</f>
        <v>NA</v>
      </c>
      <c r="L14">
        <f>IF($E14 = 1,ROUND(SUM(recreation_claude_v2_5!L14,recreation_claude_v2_4!L14,recreation_claude_v2_3!L14,recreation_claude_v2_2!L14,recreation_claude_v2_1!L14)/COUNT(recreation_claude_v2_5!L14,recreation_claude_v2_4!L14,recreation_claude_v2_3!L14,recreation_claude_v2_2!L14,recreation_claude_v2_1!L14),0),"NA")</f>
        <v>1</v>
      </c>
      <c r="M14">
        <f>IF($E14 = 1,ROUND(SUM(recreation_claude_v2_5!M14,recreation_claude_v2_4!M14,recreation_claude_v2_3!M14,recreation_claude_v2_2!M14,recreation_claude_v2_1!M14)/COUNT(recreation_claude_v2_5!M14,recreation_claude_v2_4!M14,recreation_claude_v2_3!M14,recreation_claude_v2_2!M14,recreation_claude_v2_1!M14),0),"NA")</f>
        <v>1</v>
      </c>
      <c r="N14">
        <f>IF($E14 = 1,ROUND(SUM(recreation_claude_v2_5!N14,recreation_claude_v2_4!N14,recreation_claude_v2_3!N14,recreation_claude_v2_2!N14,recreation_claude_v2_1!N14)/COUNT(recreation_claude_v2_5!N14,recreation_claude_v2_4!N14,recreation_claude_v2_3!N14,recreation_claude_v2_2!N14,recreation_claude_v2_1!N14),0),"NA")</f>
        <v>1</v>
      </c>
      <c r="O14">
        <f>IF($E14 = 1,ROUND(SUM(recreation_claude_v2_5!O14,recreation_claude_v2_4!O14,recreation_claude_v2_3!O14,recreation_claude_v2_2!O14,recreation_claude_v2_1!O14)/COUNT(recreation_claude_v2_5!O14,recreation_claude_v2_4!O14,recreation_claude_v2_3!O14,recreation_claude_v2_2!O14,recreation_claude_v2_1!O14),0),"NA")</f>
        <v>1</v>
      </c>
    </row>
    <row r="15" spans="1:15" x14ac:dyDescent="0.25">
      <c r="A15" t="s">
        <v>16</v>
      </c>
      <c r="B15" t="s">
        <v>35</v>
      </c>
      <c r="C15">
        <v>0</v>
      </c>
      <c r="D15">
        <v>9.808021068572998</v>
      </c>
      <c r="E15">
        <f>ROUND(SUM(recreation_claude_v2_5!E15,recreation_claude_v2_4!E15,recreation_claude_v2_3!E15,recreation_claude_v2_2!E15,recreation_claude_v2_1!E15)/COUNT(recreation_claude_v2_5!E15,recreation_claude_v2_4!E15,recreation_claude_v2_3!E15,recreation_claude_v2_2!E15,recreation_claude_v2_1!E15),0)</f>
        <v>1</v>
      </c>
      <c r="F15">
        <f>IF($E15 = 1,ROUND(SUM(recreation_claude_v2_5!F15,recreation_claude_v2_4!F15,recreation_claude_v2_3!F15,recreation_claude_v2_2!F15,recreation_claude_v2_1!F15)/COUNT(recreation_claude_v2_5!F15,recreation_claude_v2_4!F15,recreation_claude_v2_3!F15,recreation_claude_v2_2!F15,recreation_claude_v2_1!F15),0),"NA")</f>
        <v>1</v>
      </c>
      <c r="G15">
        <f>IF($E15 = 1,ROUND(SUM(recreation_claude_v2_5!G15,recreation_claude_v2_4!G15,recreation_claude_v2_3!G15,recreation_claude_v2_2!G15,recreation_claude_v2_1!G15)/COUNT(recreation_claude_v2_5!G15,recreation_claude_v2_4!G15,recreation_claude_v2_3!G15,recreation_claude_v2_2!G15,recreation_claude_v2_1!G15),0),"NA")</f>
        <v>1</v>
      </c>
      <c r="H15">
        <f>IF($E15 = 1,ROUND(SUM(recreation_claude_v2_5!I15,recreation_claude_v2_4!I15,recreation_claude_v2_3!I15,recreation_claude_v2_2!I15,recreation_claude_v2_1!I15)/COUNT(recreation_claude_v2_5!I15,recreation_claude_v2_4!I15,recreation_claude_v2_3!I15,recreation_claude_v2_2!I15,recreation_claude_v2_1!I15),0),"NA")</f>
        <v>1</v>
      </c>
      <c r="I15">
        <f>IF($F15 = 1,ROUND(SUM(recreation_claude_v2_5!J15,recreation_claude_v2_4!J15,recreation_claude_v2_3!J15,recreation_claude_v2_2!J15,recreation_claude_v2_1!J15)/COUNT(recreation_claude_v2_5!J15,recreation_claude_v2_4!J15,recreation_claude_v2_3!J15,recreation_claude_v2_2!J15,recreation_claude_v2_1!J15),0),"NA")</f>
        <v>1</v>
      </c>
      <c r="J15">
        <f>IF($E15 = 1,ROUND(SUM(recreation_claude_v2_5!K15,recreation_claude_v2_4!K15,recreation_claude_v2_3!K15,recreation_claude_v2_2!K15,recreation_claude_v2_1!K15)/COUNT(recreation_claude_v2_5!K15,recreation_claude_v2_4!K15,recreation_claude_v2_3!K15,recreation_claude_v2_2!K15,recreation_claude_v2_1!K15),0),"NA")</f>
        <v>1</v>
      </c>
      <c r="K15">
        <f>IF(AND($F15 = 1, $G15 = 1),ROUND(SUM(recreation_claude_v2_5!L15,recreation_claude_v2_4!L15,recreation_claude_v2_3!L15,recreation_claude_v2_2!L15,recreation_claude_v2_1!L15)/COUNT(recreation_claude_v2_5!L15,recreation_claude_v2_4!L15,recreation_claude_v2_3!L15,recreation_claude_v2_2!L15,recreation_claude_v2_1!L15),0),"NA")</f>
        <v>1</v>
      </c>
      <c r="L15">
        <f>IF($E15 = 1,ROUND(SUM(recreation_claude_v2_5!L15,recreation_claude_v2_4!L15,recreation_claude_v2_3!L15,recreation_claude_v2_2!L15,recreation_claude_v2_1!L15)/COUNT(recreation_claude_v2_5!L15,recreation_claude_v2_4!L15,recreation_claude_v2_3!L15,recreation_claude_v2_2!L15,recreation_claude_v2_1!L15),0),"NA")</f>
        <v>1</v>
      </c>
      <c r="M15">
        <f>IF($E15 = 1,ROUND(SUM(recreation_claude_v2_5!M15,recreation_claude_v2_4!M15,recreation_claude_v2_3!M15,recreation_claude_v2_2!M15,recreation_claude_v2_1!M15)/COUNT(recreation_claude_v2_5!M15,recreation_claude_v2_4!M15,recreation_claude_v2_3!M15,recreation_claude_v2_2!M15,recreation_claude_v2_1!M15),0),"NA")</f>
        <v>1</v>
      </c>
      <c r="N15">
        <f>IF($E15 = 1,ROUND(SUM(recreation_claude_v2_5!N15,recreation_claude_v2_4!N15,recreation_claude_v2_3!N15,recreation_claude_v2_2!N15,recreation_claude_v2_1!N15)/COUNT(recreation_claude_v2_5!N15,recreation_claude_v2_4!N15,recreation_claude_v2_3!N15,recreation_claude_v2_2!N15,recreation_claude_v2_1!N15),0),"NA")</f>
        <v>1</v>
      </c>
      <c r="O15">
        <f>IF($E15 = 1,ROUND(SUM(recreation_claude_v2_5!O15,recreation_claude_v2_4!O15,recreation_claude_v2_3!O15,recreation_claude_v2_2!O15,recreation_claude_v2_1!O15)/COUNT(recreation_claude_v2_5!O15,recreation_claude_v2_4!O15,recreation_claude_v2_3!O15,recreation_claude_v2_2!O15,recreation_claude_v2_1!O15),0),"NA")</f>
        <v>1</v>
      </c>
    </row>
    <row r="16" spans="1:15" x14ac:dyDescent="0.25">
      <c r="A16" t="s">
        <v>16</v>
      </c>
      <c r="B16" t="s">
        <v>36</v>
      </c>
      <c r="C16">
        <v>0</v>
      </c>
      <c r="D16">
        <v>9.8104343414306641</v>
      </c>
      <c r="E16">
        <f>ROUND(SUM(recreation_claude_v2_5!E16,recreation_claude_v2_4!E16,recreation_claude_v2_3!E16,recreation_claude_v2_2!E16,recreation_claude_v2_1!E16)/COUNT(recreation_claude_v2_5!E16,recreation_claude_v2_4!E16,recreation_claude_v2_3!E16,recreation_claude_v2_2!E16,recreation_claude_v2_1!E16),0)</f>
        <v>1</v>
      </c>
      <c r="F16">
        <f>IF($E16 = 1,ROUND(SUM(recreation_claude_v2_5!F16,recreation_claude_v2_4!F16,recreation_claude_v2_3!F16,recreation_claude_v2_2!F16,recreation_claude_v2_1!F16)/COUNT(recreation_claude_v2_5!F16,recreation_claude_v2_4!F16,recreation_claude_v2_3!F16,recreation_claude_v2_2!F16,recreation_claude_v2_1!F16),0),"NA")</f>
        <v>1</v>
      </c>
      <c r="G16">
        <f>IF($E16 = 1,ROUND(SUM(recreation_claude_v2_5!G16,recreation_claude_v2_4!G16,recreation_claude_v2_3!G16,recreation_claude_v2_2!G16,recreation_claude_v2_1!G16)/COUNT(recreation_claude_v2_5!G16,recreation_claude_v2_4!G16,recreation_claude_v2_3!G16,recreation_claude_v2_2!G16,recreation_claude_v2_1!G16),0),"NA")</f>
        <v>1</v>
      </c>
      <c r="H16">
        <f>IF($E16 = 1,ROUND(SUM(recreation_claude_v2_5!I16,recreation_claude_v2_4!I16,recreation_claude_v2_3!I16,recreation_claude_v2_2!I16,recreation_claude_v2_1!I16)/COUNT(recreation_claude_v2_5!I16,recreation_claude_v2_4!I16,recreation_claude_v2_3!I16,recreation_claude_v2_2!I16,recreation_claude_v2_1!I16),0),"NA")</f>
        <v>1</v>
      </c>
      <c r="I16">
        <f>IF($F16 = 1,ROUND(SUM(recreation_claude_v2_5!J16,recreation_claude_v2_4!J16,recreation_claude_v2_3!J16,recreation_claude_v2_2!J16,recreation_claude_v2_1!J16)/COUNT(recreation_claude_v2_5!J16,recreation_claude_v2_4!J16,recreation_claude_v2_3!J16,recreation_claude_v2_2!J16,recreation_claude_v2_1!J16),0),"NA")</f>
        <v>1</v>
      </c>
      <c r="J16">
        <f>IF($E16 = 1,ROUND(SUM(recreation_claude_v2_5!K16,recreation_claude_v2_4!K16,recreation_claude_v2_3!K16,recreation_claude_v2_2!K16,recreation_claude_v2_1!K16)/COUNT(recreation_claude_v2_5!K16,recreation_claude_v2_4!K16,recreation_claude_v2_3!K16,recreation_claude_v2_2!K16,recreation_claude_v2_1!K16),0),"NA")</f>
        <v>1</v>
      </c>
      <c r="K16">
        <f>IF(AND($F16 = 1, $G16 = 1),ROUND(SUM(recreation_claude_v2_5!L16,recreation_claude_v2_4!L16,recreation_claude_v2_3!L16,recreation_claude_v2_2!L16,recreation_claude_v2_1!L16)/COUNT(recreation_claude_v2_5!L16,recreation_claude_v2_4!L16,recreation_claude_v2_3!L16,recreation_claude_v2_2!L16,recreation_claude_v2_1!L16),0),"NA")</f>
        <v>1</v>
      </c>
      <c r="L16">
        <f>IF($E16 = 1,ROUND(SUM(recreation_claude_v2_5!L16,recreation_claude_v2_4!L16,recreation_claude_v2_3!L16,recreation_claude_v2_2!L16,recreation_claude_v2_1!L16)/COUNT(recreation_claude_v2_5!L16,recreation_claude_v2_4!L16,recreation_claude_v2_3!L16,recreation_claude_v2_2!L16,recreation_claude_v2_1!L16),0),"NA")</f>
        <v>1</v>
      </c>
      <c r="M16">
        <f>IF($E16 = 1,ROUND(SUM(recreation_claude_v2_5!M16,recreation_claude_v2_4!M16,recreation_claude_v2_3!M16,recreation_claude_v2_2!M16,recreation_claude_v2_1!M16)/COUNT(recreation_claude_v2_5!M16,recreation_claude_v2_4!M16,recreation_claude_v2_3!M16,recreation_claude_v2_2!M16,recreation_claude_v2_1!M16),0),"NA")</f>
        <v>1</v>
      </c>
      <c r="N16">
        <f>IF($E16 = 1,ROUND(SUM(recreation_claude_v2_5!N16,recreation_claude_v2_4!N16,recreation_claude_v2_3!N16,recreation_claude_v2_2!N16,recreation_claude_v2_1!N16)/COUNT(recreation_claude_v2_5!N16,recreation_claude_v2_4!N16,recreation_claude_v2_3!N16,recreation_claude_v2_2!N16,recreation_claude_v2_1!N16),0),"NA")</f>
        <v>1</v>
      </c>
      <c r="O16">
        <f>IF($E16 = 1,ROUND(SUM(recreation_claude_v2_5!O16,recreation_claude_v2_4!O16,recreation_claude_v2_3!O16,recreation_claude_v2_2!O16,recreation_claude_v2_1!O16)/COUNT(recreation_claude_v2_5!O16,recreation_claude_v2_4!O16,recreation_claude_v2_3!O16,recreation_claude_v2_2!O16,recreation_claude_v2_1!O16),0),"NA")</f>
        <v>1</v>
      </c>
    </row>
    <row r="17" spans="1:15" x14ac:dyDescent="0.25">
      <c r="A17" t="s">
        <v>16</v>
      </c>
      <c r="B17" t="s">
        <v>38</v>
      </c>
      <c r="C17">
        <v>0</v>
      </c>
      <c r="D17">
        <v>10.24720406532288</v>
      </c>
      <c r="E17">
        <f>ROUND(SUM(recreation_claude_v2_5!E17,recreation_claude_v2_4!E17,recreation_claude_v2_3!E17,recreation_claude_v2_2!E17,recreation_claude_v2_1!E17)/COUNT(recreation_claude_v2_5!E17,recreation_claude_v2_4!E17,recreation_claude_v2_3!E17,recreation_claude_v2_2!E17,recreation_claude_v2_1!E17),0)</f>
        <v>1</v>
      </c>
      <c r="F17">
        <f>IF($E17 = 1,ROUND(SUM(recreation_claude_v2_5!F17,recreation_claude_v2_4!F17,recreation_claude_v2_3!F17,recreation_claude_v2_2!F17,recreation_claude_v2_1!F17)/COUNT(recreation_claude_v2_5!F17,recreation_claude_v2_4!F17,recreation_claude_v2_3!F17,recreation_claude_v2_2!F17,recreation_claude_v2_1!F17),0),"NA")</f>
        <v>1</v>
      </c>
      <c r="G17">
        <f>IF($E17 = 1,ROUND(SUM(recreation_claude_v2_5!G17,recreation_claude_v2_4!G17,recreation_claude_v2_3!G17,recreation_claude_v2_2!G17,recreation_claude_v2_1!G17)/COUNT(recreation_claude_v2_5!G17,recreation_claude_v2_4!G17,recreation_claude_v2_3!G17,recreation_claude_v2_2!G17,recreation_claude_v2_1!G17),0),"NA")</f>
        <v>1</v>
      </c>
      <c r="H17">
        <f>IF($E17 = 1,ROUND(SUM(recreation_claude_v2_5!I17,recreation_claude_v2_4!I17,recreation_claude_v2_3!I17,recreation_claude_v2_2!I17,recreation_claude_v2_1!I17)/COUNT(recreation_claude_v2_5!I17,recreation_claude_v2_4!I17,recreation_claude_v2_3!I17,recreation_claude_v2_2!I17,recreation_claude_v2_1!I17),0),"NA")</f>
        <v>1</v>
      </c>
      <c r="I17">
        <f>IF($F17 = 1,ROUND(SUM(recreation_claude_v2_5!J17,recreation_claude_v2_4!J17,recreation_claude_v2_3!J17,recreation_claude_v2_2!J17,recreation_claude_v2_1!J17)/COUNT(recreation_claude_v2_5!J17,recreation_claude_v2_4!J17,recreation_claude_v2_3!J17,recreation_claude_v2_2!J17,recreation_claude_v2_1!J17),0),"NA")</f>
        <v>1</v>
      </c>
      <c r="J17">
        <f>IF($E17 = 1,ROUND(SUM(recreation_claude_v2_5!K17,recreation_claude_v2_4!K17,recreation_claude_v2_3!K17,recreation_claude_v2_2!K17,recreation_claude_v2_1!K17)/COUNT(recreation_claude_v2_5!K17,recreation_claude_v2_4!K17,recreation_claude_v2_3!K17,recreation_claude_v2_2!K17,recreation_claude_v2_1!K17),0),"NA")</f>
        <v>1</v>
      </c>
      <c r="K17">
        <f>IF(AND($F17 = 1, $G17 = 1),ROUND(SUM(recreation_claude_v2_5!L17,recreation_claude_v2_4!L17,recreation_claude_v2_3!L17,recreation_claude_v2_2!L17,recreation_claude_v2_1!L17)/COUNT(recreation_claude_v2_5!L17,recreation_claude_v2_4!L17,recreation_claude_v2_3!L17,recreation_claude_v2_2!L17,recreation_claude_v2_1!L17),0),"NA")</f>
        <v>1</v>
      </c>
      <c r="L17">
        <f>IF($E17 = 1,ROUND(SUM(recreation_claude_v2_5!L17,recreation_claude_v2_4!L17,recreation_claude_v2_3!L17,recreation_claude_v2_2!L17,recreation_claude_v2_1!L17)/COUNT(recreation_claude_v2_5!L17,recreation_claude_v2_4!L17,recreation_claude_v2_3!L17,recreation_claude_v2_2!L17,recreation_claude_v2_1!L17),0),"NA")</f>
        <v>1</v>
      </c>
      <c r="M17">
        <f>IF($E17 = 1,ROUND(SUM(recreation_claude_v2_5!M17,recreation_claude_v2_4!M17,recreation_claude_v2_3!M17,recreation_claude_v2_2!M17,recreation_claude_v2_1!M17)/COUNT(recreation_claude_v2_5!M17,recreation_claude_v2_4!M17,recreation_claude_v2_3!M17,recreation_claude_v2_2!M17,recreation_claude_v2_1!M17),0),"NA")</f>
        <v>1</v>
      </c>
      <c r="N17">
        <f>IF($E17 = 1,ROUND(SUM(recreation_claude_v2_5!N17,recreation_claude_v2_4!N17,recreation_claude_v2_3!N17,recreation_claude_v2_2!N17,recreation_claude_v2_1!N17)/COUNT(recreation_claude_v2_5!N17,recreation_claude_v2_4!N17,recreation_claude_v2_3!N17,recreation_claude_v2_2!N17,recreation_claude_v2_1!N17),0),"NA")</f>
        <v>1</v>
      </c>
      <c r="O17">
        <f>IF($E17 = 1,ROUND(SUM(recreation_claude_v2_5!O17,recreation_claude_v2_4!O17,recreation_claude_v2_3!O17,recreation_claude_v2_2!O17,recreation_claude_v2_1!O17)/COUNT(recreation_claude_v2_5!O17,recreation_claude_v2_4!O17,recreation_claude_v2_3!O17,recreation_claude_v2_2!O17,recreation_claude_v2_1!O17),0),"NA")</f>
        <v>1</v>
      </c>
    </row>
    <row r="18" spans="1:15" x14ac:dyDescent="0.25">
      <c r="A18" t="s">
        <v>16</v>
      </c>
      <c r="B18" t="s">
        <v>39</v>
      </c>
      <c r="C18">
        <v>0</v>
      </c>
      <c r="D18">
        <v>8.6891674995422363</v>
      </c>
      <c r="E18">
        <f>ROUND(SUM(recreation_claude_v2_5!E18,recreation_claude_v2_4!E18,recreation_claude_v2_3!E18,recreation_claude_v2_2!E18,recreation_claude_v2_1!E18)/COUNT(recreation_claude_v2_5!E18,recreation_claude_v2_4!E18,recreation_claude_v2_3!E18,recreation_claude_v2_2!E18,recreation_claude_v2_1!E18),0)</f>
        <v>1</v>
      </c>
      <c r="F18">
        <f>IF($E18 = 1,ROUND(SUM(recreation_claude_v2_5!F18,recreation_claude_v2_4!F18,recreation_claude_v2_3!F18,recreation_claude_v2_2!F18,recreation_claude_v2_1!F18)/COUNT(recreation_claude_v2_5!F18,recreation_claude_v2_4!F18,recreation_claude_v2_3!F18,recreation_claude_v2_2!F18,recreation_claude_v2_1!F18),0),"NA")</f>
        <v>1</v>
      </c>
      <c r="G18">
        <f>IF($E18 = 1,ROUND(SUM(recreation_claude_v2_5!G18,recreation_claude_v2_4!G18,recreation_claude_v2_3!G18,recreation_claude_v2_2!G18,recreation_claude_v2_1!G18)/COUNT(recreation_claude_v2_5!G18,recreation_claude_v2_4!G18,recreation_claude_v2_3!G18,recreation_claude_v2_2!G18,recreation_claude_v2_1!G18),0),"NA")</f>
        <v>1</v>
      </c>
      <c r="H18">
        <f>IF($E18 = 1,ROUND(SUM(recreation_claude_v2_5!I18,recreation_claude_v2_4!I18,recreation_claude_v2_3!I18,recreation_claude_v2_2!I18,recreation_claude_v2_1!I18)/COUNT(recreation_claude_v2_5!I18,recreation_claude_v2_4!I18,recreation_claude_v2_3!I18,recreation_claude_v2_2!I18,recreation_claude_v2_1!I18),0),"NA")</f>
        <v>1</v>
      </c>
      <c r="I18">
        <f>IF($F18 = 1,ROUND(SUM(recreation_claude_v2_5!J18,recreation_claude_v2_4!J18,recreation_claude_v2_3!J18,recreation_claude_v2_2!J18,recreation_claude_v2_1!J18)/COUNT(recreation_claude_v2_5!J18,recreation_claude_v2_4!J18,recreation_claude_v2_3!J18,recreation_claude_v2_2!J18,recreation_claude_v2_1!J18),0),"NA")</f>
        <v>1</v>
      </c>
      <c r="J18">
        <f>IF($E18 = 1,ROUND(SUM(recreation_claude_v2_5!K18,recreation_claude_v2_4!K18,recreation_claude_v2_3!K18,recreation_claude_v2_2!K18,recreation_claude_v2_1!K18)/COUNT(recreation_claude_v2_5!K18,recreation_claude_v2_4!K18,recreation_claude_v2_3!K18,recreation_claude_v2_2!K18,recreation_claude_v2_1!K18),0),"NA")</f>
        <v>1</v>
      </c>
      <c r="K18">
        <f>IF(AND($F18 = 1, $G18 = 1),ROUND(SUM(recreation_claude_v2_5!L18,recreation_claude_v2_4!L18,recreation_claude_v2_3!L18,recreation_claude_v2_2!L18,recreation_claude_v2_1!L18)/COUNT(recreation_claude_v2_5!L18,recreation_claude_v2_4!L18,recreation_claude_v2_3!L18,recreation_claude_v2_2!L18,recreation_claude_v2_1!L18),0),"NA")</f>
        <v>1</v>
      </c>
      <c r="L18">
        <f>IF($E18 = 1,ROUND(SUM(recreation_claude_v2_5!L18,recreation_claude_v2_4!L18,recreation_claude_v2_3!L18,recreation_claude_v2_2!L18,recreation_claude_v2_1!L18)/COUNT(recreation_claude_v2_5!L18,recreation_claude_v2_4!L18,recreation_claude_v2_3!L18,recreation_claude_v2_2!L18,recreation_claude_v2_1!L18),0),"NA")</f>
        <v>1</v>
      </c>
      <c r="M18">
        <f>IF($E18 = 1,ROUND(SUM(recreation_claude_v2_5!M18,recreation_claude_v2_4!M18,recreation_claude_v2_3!M18,recreation_claude_v2_2!M18,recreation_claude_v2_1!M18)/COUNT(recreation_claude_v2_5!M18,recreation_claude_v2_4!M18,recreation_claude_v2_3!M18,recreation_claude_v2_2!M18,recreation_claude_v2_1!M18),0),"NA")</f>
        <v>1</v>
      </c>
      <c r="N18">
        <f>IF($E18 = 1,ROUND(SUM(recreation_claude_v2_5!N18,recreation_claude_v2_4!N18,recreation_claude_v2_3!N18,recreation_claude_v2_2!N18,recreation_claude_v2_1!N18)/COUNT(recreation_claude_v2_5!N18,recreation_claude_v2_4!N18,recreation_claude_v2_3!N18,recreation_claude_v2_2!N18,recreation_claude_v2_1!N18),0),"NA")</f>
        <v>1</v>
      </c>
      <c r="O18">
        <f>IF($E18 = 1,ROUND(SUM(recreation_claude_v2_5!O18,recreation_claude_v2_4!O18,recreation_claude_v2_3!O18,recreation_claude_v2_2!O18,recreation_claude_v2_1!O18)/COUNT(recreation_claude_v2_5!O18,recreation_claude_v2_4!O18,recreation_claude_v2_3!O18,recreation_claude_v2_2!O18,recreation_claude_v2_1!O18),0),"NA")</f>
        <v>1</v>
      </c>
    </row>
    <row r="19" spans="1:15" x14ac:dyDescent="0.25">
      <c r="A19" t="s">
        <v>16</v>
      </c>
      <c r="B19" t="s">
        <v>40</v>
      </c>
      <c r="C19">
        <v>0</v>
      </c>
      <c r="D19">
        <v>3.0835211277008061</v>
      </c>
      <c r="E19">
        <f>ROUND(SUM(recreation_claude_v2_5!E19,recreation_claude_v2_4!E19,recreation_claude_v2_3!E19,recreation_claude_v2_2!E19,recreation_claude_v2_1!E19)/COUNT(recreation_claude_v2_5!E19,recreation_claude_v2_4!E19,recreation_claude_v2_3!E19,recreation_claude_v2_2!E19,recreation_claude_v2_1!E19),0)</f>
        <v>1</v>
      </c>
      <c r="F19">
        <f>IF($E19 = 1,ROUND(SUM(recreation_claude_v2_5!F19,recreation_claude_v2_4!F19,recreation_claude_v2_3!F19,recreation_claude_v2_2!F19,recreation_claude_v2_1!F19)/COUNT(recreation_claude_v2_5!F19,recreation_claude_v2_4!F19,recreation_claude_v2_3!F19,recreation_claude_v2_2!F19,recreation_claude_v2_1!F19),0),"NA")</f>
        <v>1</v>
      </c>
      <c r="G19">
        <f>IF($E19 = 1,ROUND(SUM(recreation_claude_v2_5!G19,recreation_claude_v2_4!G19,recreation_claude_v2_3!G19,recreation_claude_v2_2!G19,recreation_claude_v2_1!G19)/COUNT(recreation_claude_v2_5!G19,recreation_claude_v2_4!G19,recreation_claude_v2_3!G19,recreation_claude_v2_2!G19,recreation_claude_v2_1!G19),0),"NA")</f>
        <v>1</v>
      </c>
      <c r="H19">
        <f>IF($E19 = 1,ROUND(SUM(recreation_claude_v2_5!I19,recreation_claude_v2_4!I19,recreation_claude_v2_3!I19,recreation_claude_v2_2!I19,recreation_claude_v2_1!I19)/COUNT(recreation_claude_v2_5!I19,recreation_claude_v2_4!I19,recreation_claude_v2_3!I19,recreation_claude_v2_2!I19,recreation_claude_v2_1!I19),0),"NA")</f>
        <v>1</v>
      </c>
      <c r="I19">
        <f>IF($F19 = 1,ROUND(SUM(recreation_claude_v2_5!J19,recreation_claude_v2_4!J19,recreation_claude_v2_3!J19,recreation_claude_v2_2!J19,recreation_claude_v2_1!J19)/COUNT(recreation_claude_v2_5!J19,recreation_claude_v2_4!J19,recreation_claude_v2_3!J19,recreation_claude_v2_2!J19,recreation_claude_v2_1!J19),0),"NA")</f>
        <v>1</v>
      </c>
      <c r="J19">
        <f>IF($E19 = 1,ROUND(SUM(recreation_claude_v2_5!K19,recreation_claude_v2_4!K19,recreation_claude_v2_3!K19,recreation_claude_v2_2!K19,recreation_claude_v2_1!K19)/COUNT(recreation_claude_v2_5!K19,recreation_claude_v2_4!K19,recreation_claude_v2_3!K19,recreation_claude_v2_2!K19,recreation_claude_v2_1!K19),0),"NA")</f>
        <v>1</v>
      </c>
      <c r="K19">
        <f>IF(AND($F19 = 1, $G19 = 1),ROUND(SUM(recreation_claude_v2_5!L19,recreation_claude_v2_4!L19,recreation_claude_v2_3!L19,recreation_claude_v2_2!L19,recreation_claude_v2_1!L19)/COUNT(recreation_claude_v2_5!L19,recreation_claude_v2_4!L19,recreation_claude_v2_3!L19,recreation_claude_v2_2!L19,recreation_claude_v2_1!L19),0),"NA")</f>
        <v>1</v>
      </c>
      <c r="L19">
        <f>IF($E19 = 1,ROUND(SUM(recreation_claude_v2_5!L19,recreation_claude_v2_4!L19,recreation_claude_v2_3!L19,recreation_claude_v2_2!L19,recreation_claude_v2_1!L19)/COUNT(recreation_claude_v2_5!L19,recreation_claude_v2_4!L19,recreation_claude_v2_3!L19,recreation_claude_v2_2!L19,recreation_claude_v2_1!L19),0),"NA")</f>
        <v>1</v>
      </c>
      <c r="M19">
        <f>IF($E19 = 1,ROUND(SUM(recreation_claude_v2_5!M19,recreation_claude_v2_4!M19,recreation_claude_v2_3!M19,recreation_claude_v2_2!M19,recreation_claude_v2_1!M19)/COUNT(recreation_claude_v2_5!M19,recreation_claude_v2_4!M19,recreation_claude_v2_3!M19,recreation_claude_v2_2!M19,recreation_claude_v2_1!M19),0),"NA")</f>
        <v>1</v>
      </c>
      <c r="N19">
        <f>IF($E19 = 1,ROUND(SUM(recreation_claude_v2_5!N19,recreation_claude_v2_4!N19,recreation_claude_v2_3!N19,recreation_claude_v2_2!N19,recreation_claude_v2_1!N19)/COUNT(recreation_claude_v2_5!N19,recreation_claude_v2_4!N19,recreation_claude_v2_3!N19,recreation_claude_v2_2!N19,recreation_claude_v2_1!N19),0),"NA")</f>
        <v>1</v>
      </c>
      <c r="O19">
        <f>IF($E19 = 1,ROUND(SUM(recreation_claude_v2_5!O19,recreation_claude_v2_4!O19,recreation_claude_v2_3!O19,recreation_claude_v2_2!O19,recreation_claude_v2_1!O19)/COUNT(recreation_claude_v2_5!O19,recreation_claude_v2_4!O19,recreation_claude_v2_3!O19,recreation_claude_v2_2!O19,recreation_claude_v2_1!O19),0),"NA")</f>
        <v>1</v>
      </c>
    </row>
    <row r="20" spans="1:15" x14ac:dyDescent="0.25">
      <c r="A20" t="s">
        <v>16</v>
      </c>
      <c r="B20" t="s">
        <v>41</v>
      </c>
      <c r="C20">
        <v>0</v>
      </c>
      <c r="D20">
        <v>6.4564733505249023</v>
      </c>
      <c r="E20">
        <f>ROUND(SUM(recreation_claude_v2_5!E20,recreation_claude_v2_4!E20,recreation_claude_v2_3!E20,recreation_claude_v2_2!E20,recreation_claude_v2_1!E20)/COUNT(recreation_claude_v2_5!E20,recreation_claude_v2_4!E20,recreation_claude_v2_3!E20,recreation_claude_v2_2!E20,recreation_claude_v2_1!E20),0)</f>
        <v>0</v>
      </c>
      <c r="F20" t="str">
        <f>IF($E20 = 1,ROUND(SUM(recreation_claude_v2_5!F20,recreation_claude_v2_4!F20,recreation_claude_v2_3!F20,recreation_claude_v2_2!F20,recreation_claude_v2_1!F20)/COUNT(recreation_claude_v2_5!F20,recreation_claude_v2_4!F20,recreation_claude_v2_3!F20,recreation_claude_v2_2!F20,recreation_claude_v2_1!F20),0),"NA")</f>
        <v>NA</v>
      </c>
      <c r="G20" t="str">
        <f>IF($E20 = 1,ROUND(SUM(recreation_claude_v2_5!G20,recreation_claude_v2_4!G20,recreation_claude_v2_3!G20,recreation_claude_v2_2!G20,recreation_claude_v2_1!G20)/COUNT(recreation_claude_v2_5!G20,recreation_claude_v2_4!G20,recreation_claude_v2_3!G20,recreation_claude_v2_2!G20,recreation_claude_v2_1!G20),0),"NA")</f>
        <v>NA</v>
      </c>
      <c r="H20" t="str">
        <f>IF($E20 = 1,ROUND(SUM(recreation_claude_v2_5!I20,recreation_claude_v2_4!I20,recreation_claude_v2_3!I20,recreation_claude_v2_2!I20,recreation_claude_v2_1!I20)/COUNT(recreation_claude_v2_5!I20,recreation_claude_v2_4!I20,recreation_claude_v2_3!I20,recreation_claude_v2_2!I20,recreation_claude_v2_1!I20),0),"NA")</f>
        <v>NA</v>
      </c>
      <c r="I20" t="str">
        <f>IF($F20 = 1,ROUND(SUM(recreation_claude_v2_5!J20,recreation_claude_v2_4!J20,recreation_claude_v2_3!J20,recreation_claude_v2_2!J20,recreation_claude_v2_1!J20)/COUNT(recreation_claude_v2_5!J20,recreation_claude_v2_4!J20,recreation_claude_v2_3!J20,recreation_claude_v2_2!J20,recreation_claude_v2_1!J20),0),"NA")</f>
        <v>NA</v>
      </c>
      <c r="J20" t="str">
        <f>IF($E20 = 1,ROUND(SUM(recreation_claude_v2_5!K20,recreation_claude_v2_4!K20,recreation_claude_v2_3!K20,recreation_claude_v2_2!K20,recreation_claude_v2_1!K20)/COUNT(recreation_claude_v2_5!K20,recreation_claude_v2_4!K20,recreation_claude_v2_3!K20,recreation_claude_v2_2!K20,recreation_claude_v2_1!K20),0),"NA")</f>
        <v>NA</v>
      </c>
      <c r="K20" t="str">
        <f>IF(AND($F20 = 1, $G20 = 1),ROUND(SUM(recreation_claude_v2_5!L20,recreation_claude_v2_4!L20,recreation_claude_v2_3!L20,recreation_claude_v2_2!L20,recreation_claude_v2_1!L20)/COUNT(recreation_claude_v2_5!L20,recreation_claude_v2_4!L20,recreation_claude_v2_3!L20,recreation_claude_v2_2!L20,recreation_claude_v2_1!L20),0),"NA")</f>
        <v>NA</v>
      </c>
      <c r="L20" t="str">
        <f>IF($E20 = 1,ROUND(SUM(recreation_claude_v2_5!L20,recreation_claude_v2_4!L20,recreation_claude_v2_3!L20,recreation_claude_v2_2!L20,recreation_claude_v2_1!L20)/COUNT(recreation_claude_v2_5!L20,recreation_claude_v2_4!L20,recreation_claude_v2_3!L20,recreation_claude_v2_2!L20,recreation_claude_v2_1!L20),0),"NA")</f>
        <v>NA</v>
      </c>
      <c r="M20" t="str">
        <f>IF($E20 = 1,ROUND(SUM(recreation_claude_v2_5!M20,recreation_claude_v2_4!M20,recreation_claude_v2_3!M20,recreation_claude_v2_2!M20,recreation_claude_v2_1!M20)/COUNT(recreation_claude_v2_5!M20,recreation_claude_v2_4!M20,recreation_claude_v2_3!M20,recreation_claude_v2_2!M20,recreation_claude_v2_1!M20),0),"NA")</f>
        <v>NA</v>
      </c>
      <c r="N20" t="str">
        <f>IF($E20 = 1,ROUND(SUM(recreation_claude_v2_5!N20,recreation_claude_v2_4!N20,recreation_claude_v2_3!N20,recreation_claude_v2_2!N20,recreation_claude_v2_1!N20)/COUNT(recreation_claude_v2_5!N20,recreation_claude_v2_4!N20,recreation_claude_v2_3!N20,recreation_claude_v2_2!N20,recreation_claude_v2_1!N20),0),"NA")</f>
        <v>NA</v>
      </c>
      <c r="O20" t="str">
        <f>IF($E20 = 1,ROUND(SUM(recreation_claude_v2_5!O20,recreation_claude_v2_4!O20,recreation_claude_v2_3!O20,recreation_claude_v2_2!O20,recreation_claude_v2_1!O20)/COUNT(recreation_claude_v2_5!O20,recreation_claude_v2_4!O20,recreation_claude_v2_3!O20,recreation_claude_v2_2!O20,recreation_claude_v2_1!O20),0),"NA")</f>
        <v>NA</v>
      </c>
    </row>
    <row r="21" spans="1:15" x14ac:dyDescent="0.25">
      <c r="A21" t="s">
        <v>16</v>
      </c>
      <c r="B21" t="s">
        <v>43</v>
      </c>
      <c r="C21">
        <v>0</v>
      </c>
      <c r="D21">
        <v>9.8090200424194336</v>
      </c>
      <c r="E21">
        <f>ROUND(SUM(recreation_claude_v2_5!E21,recreation_claude_v2_4!E21,recreation_claude_v2_3!E21,recreation_claude_v2_2!E21,recreation_claude_v2_1!E21)/COUNT(recreation_claude_v2_5!E21,recreation_claude_v2_4!E21,recreation_claude_v2_3!E21,recreation_claude_v2_2!E21,recreation_claude_v2_1!E21),0)</f>
        <v>1</v>
      </c>
      <c r="F21">
        <f>IF($E21 = 1,ROUND(SUM(recreation_claude_v2_5!F21,recreation_claude_v2_4!F21,recreation_claude_v2_3!F21,recreation_claude_v2_2!F21,recreation_claude_v2_1!F21)/COUNT(recreation_claude_v2_5!F21,recreation_claude_v2_4!F21,recreation_claude_v2_3!F21,recreation_claude_v2_2!F21,recreation_claude_v2_1!F21),0),"NA")</f>
        <v>1</v>
      </c>
      <c r="G21">
        <f>IF($E21 = 1,ROUND(SUM(recreation_claude_v2_5!G21,recreation_claude_v2_4!G21,recreation_claude_v2_3!G21,recreation_claude_v2_2!G21,recreation_claude_v2_1!G21)/COUNT(recreation_claude_v2_5!G21,recreation_claude_v2_4!G21,recreation_claude_v2_3!G21,recreation_claude_v2_2!G21,recreation_claude_v2_1!G21),0),"NA")</f>
        <v>1</v>
      </c>
      <c r="H21">
        <f>IF($E21 = 1,ROUND(SUM(recreation_claude_v2_5!I21,recreation_claude_v2_4!I21,recreation_claude_v2_3!I21,recreation_claude_v2_2!I21,recreation_claude_v2_1!I21)/COUNT(recreation_claude_v2_5!I21,recreation_claude_v2_4!I21,recreation_claude_v2_3!I21,recreation_claude_v2_2!I21,recreation_claude_v2_1!I21),0),"NA")</f>
        <v>1</v>
      </c>
      <c r="I21">
        <f>IF($F21 = 1,ROUND(SUM(recreation_claude_v2_5!J21,recreation_claude_v2_4!J21,recreation_claude_v2_3!J21,recreation_claude_v2_2!J21,recreation_claude_v2_1!J21)/COUNT(recreation_claude_v2_5!J21,recreation_claude_v2_4!J21,recreation_claude_v2_3!J21,recreation_claude_v2_2!J21,recreation_claude_v2_1!J21),0),"NA")</f>
        <v>1</v>
      </c>
      <c r="J21">
        <f>IF($E21 = 1,ROUND(SUM(recreation_claude_v2_5!K21,recreation_claude_v2_4!K21,recreation_claude_v2_3!K21,recreation_claude_v2_2!K21,recreation_claude_v2_1!K21)/COUNT(recreation_claude_v2_5!K21,recreation_claude_v2_4!K21,recreation_claude_v2_3!K21,recreation_claude_v2_2!K21,recreation_claude_v2_1!K21),0),"NA")</f>
        <v>1</v>
      </c>
      <c r="K21">
        <f>IF(AND($F21 = 1, $G21 = 1),ROUND(SUM(recreation_claude_v2_5!L21,recreation_claude_v2_4!L21,recreation_claude_v2_3!L21,recreation_claude_v2_2!L21,recreation_claude_v2_1!L21)/COUNT(recreation_claude_v2_5!L21,recreation_claude_v2_4!L21,recreation_claude_v2_3!L21,recreation_claude_v2_2!L21,recreation_claude_v2_1!L21),0),"NA")</f>
        <v>1</v>
      </c>
      <c r="L21">
        <f>IF($E21 = 1,ROUND(SUM(recreation_claude_v2_5!L21,recreation_claude_v2_4!L21,recreation_claude_v2_3!L21,recreation_claude_v2_2!L21,recreation_claude_v2_1!L21)/COUNT(recreation_claude_v2_5!L21,recreation_claude_v2_4!L21,recreation_claude_v2_3!L21,recreation_claude_v2_2!L21,recreation_claude_v2_1!L21),0),"NA")</f>
        <v>1</v>
      </c>
      <c r="M21">
        <f>IF($E21 = 1,ROUND(SUM(recreation_claude_v2_5!M21,recreation_claude_v2_4!M21,recreation_claude_v2_3!M21,recreation_claude_v2_2!M21,recreation_claude_v2_1!M21)/COUNT(recreation_claude_v2_5!M21,recreation_claude_v2_4!M21,recreation_claude_v2_3!M21,recreation_claude_v2_2!M21,recreation_claude_v2_1!M21),0),"NA")</f>
        <v>1</v>
      </c>
      <c r="N21">
        <f>IF($E21 = 1,ROUND(SUM(recreation_claude_v2_5!N21,recreation_claude_v2_4!N21,recreation_claude_v2_3!N21,recreation_claude_v2_2!N21,recreation_claude_v2_1!N21)/COUNT(recreation_claude_v2_5!N21,recreation_claude_v2_4!N21,recreation_claude_v2_3!N21,recreation_claude_v2_2!N21,recreation_claude_v2_1!N21),0),"NA")</f>
        <v>1</v>
      </c>
      <c r="O21">
        <f>IF($E21 = 1,ROUND(SUM(recreation_claude_v2_5!O21,recreation_claude_v2_4!O21,recreation_claude_v2_3!O21,recreation_claude_v2_2!O21,recreation_claude_v2_1!O21)/COUNT(recreation_claude_v2_5!O21,recreation_claude_v2_4!O21,recreation_claude_v2_3!O21,recreation_claude_v2_2!O21,recreation_claude_v2_1!O21),0),"NA")</f>
        <v>1</v>
      </c>
    </row>
    <row r="22" spans="1:15" x14ac:dyDescent="0.25">
      <c r="A22" t="s">
        <v>16</v>
      </c>
      <c r="B22" t="s">
        <v>44</v>
      </c>
      <c r="C22">
        <v>0</v>
      </c>
      <c r="D22">
        <v>9.5236601829528809</v>
      </c>
      <c r="E22">
        <f>ROUND(SUM(recreation_claude_v2_5!E22,recreation_claude_v2_4!E22,recreation_claude_v2_3!E22,recreation_claude_v2_2!E22,recreation_claude_v2_1!E22)/COUNT(recreation_claude_v2_5!E22,recreation_claude_v2_4!E22,recreation_claude_v2_3!E22,recreation_claude_v2_2!E22,recreation_claude_v2_1!E22),0)</f>
        <v>1</v>
      </c>
      <c r="F22">
        <f>IF($E22 = 1,ROUND(SUM(recreation_claude_v2_5!F22,recreation_claude_v2_4!F22,recreation_claude_v2_3!F22,recreation_claude_v2_2!F22,recreation_claude_v2_1!F22)/COUNT(recreation_claude_v2_5!F22,recreation_claude_v2_4!F22,recreation_claude_v2_3!F22,recreation_claude_v2_2!F22,recreation_claude_v2_1!F22),0),"NA")</f>
        <v>1</v>
      </c>
      <c r="G22">
        <f>IF($E22 = 1,ROUND(SUM(recreation_claude_v2_5!G22,recreation_claude_v2_4!G22,recreation_claude_v2_3!G22,recreation_claude_v2_2!G22,recreation_claude_v2_1!G22)/COUNT(recreation_claude_v2_5!G22,recreation_claude_v2_4!G22,recreation_claude_v2_3!G22,recreation_claude_v2_2!G22,recreation_claude_v2_1!G22),0),"NA")</f>
        <v>1</v>
      </c>
      <c r="H22">
        <f>IF($E22 = 1,ROUND(SUM(recreation_claude_v2_5!I22,recreation_claude_v2_4!I22,recreation_claude_v2_3!I22,recreation_claude_v2_2!I22,recreation_claude_v2_1!I22)/COUNT(recreation_claude_v2_5!I22,recreation_claude_v2_4!I22,recreation_claude_v2_3!I22,recreation_claude_v2_2!I22,recreation_claude_v2_1!I22),0),"NA")</f>
        <v>1</v>
      </c>
      <c r="I22">
        <f>IF($F22 = 1,ROUND(SUM(recreation_claude_v2_5!J22,recreation_claude_v2_4!J22,recreation_claude_v2_3!J22,recreation_claude_v2_2!J22,recreation_claude_v2_1!J22)/COUNT(recreation_claude_v2_5!J22,recreation_claude_v2_4!J22,recreation_claude_v2_3!J22,recreation_claude_v2_2!J22,recreation_claude_v2_1!J22),0),"NA")</f>
        <v>1</v>
      </c>
      <c r="J22">
        <f>IF($E22 = 1,ROUND(SUM(recreation_claude_v2_5!K22,recreation_claude_v2_4!K22,recreation_claude_v2_3!K22,recreation_claude_v2_2!K22,recreation_claude_v2_1!K22)/COUNT(recreation_claude_v2_5!K22,recreation_claude_v2_4!K22,recreation_claude_v2_3!K22,recreation_claude_v2_2!K22,recreation_claude_v2_1!K22),0),"NA")</f>
        <v>1</v>
      </c>
      <c r="K22">
        <f>IF(AND($F22 = 1, $G22 = 1),ROUND(SUM(recreation_claude_v2_5!L22,recreation_claude_v2_4!L22,recreation_claude_v2_3!L22,recreation_claude_v2_2!L22,recreation_claude_v2_1!L22)/COUNT(recreation_claude_v2_5!L22,recreation_claude_v2_4!L22,recreation_claude_v2_3!L22,recreation_claude_v2_2!L22,recreation_claude_v2_1!L22),0),"NA")</f>
        <v>1</v>
      </c>
      <c r="L22">
        <f>IF($E22 = 1,ROUND(SUM(recreation_claude_v2_5!L22,recreation_claude_v2_4!L22,recreation_claude_v2_3!L22,recreation_claude_v2_2!L22,recreation_claude_v2_1!L22)/COUNT(recreation_claude_v2_5!L22,recreation_claude_v2_4!L22,recreation_claude_v2_3!L22,recreation_claude_v2_2!L22,recreation_claude_v2_1!L22),0),"NA")</f>
        <v>1</v>
      </c>
      <c r="M22">
        <f>IF($E22 = 1,ROUND(SUM(recreation_claude_v2_5!M22,recreation_claude_v2_4!M22,recreation_claude_v2_3!M22,recreation_claude_v2_2!M22,recreation_claude_v2_1!M22)/COUNT(recreation_claude_v2_5!M22,recreation_claude_v2_4!M22,recreation_claude_v2_3!M22,recreation_claude_v2_2!M22,recreation_claude_v2_1!M22),0),"NA")</f>
        <v>1</v>
      </c>
      <c r="N22">
        <f>IF($E22 = 1,ROUND(SUM(recreation_claude_v2_5!N22,recreation_claude_v2_4!N22,recreation_claude_v2_3!N22,recreation_claude_v2_2!N22,recreation_claude_v2_1!N22)/COUNT(recreation_claude_v2_5!N22,recreation_claude_v2_4!N22,recreation_claude_v2_3!N22,recreation_claude_v2_2!N22,recreation_claude_v2_1!N22),0),"NA")</f>
        <v>1</v>
      </c>
      <c r="O22">
        <f>IF($E22 = 1,ROUND(SUM(recreation_claude_v2_5!O22,recreation_claude_v2_4!O22,recreation_claude_v2_3!O22,recreation_claude_v2_2!O22,recreation_claude_v2_1!O22)/COUNT(recreation_claude_v2_5!O22,recreation_claude_v2_4!O22,recreation_claude_v2_3!O22,recreation_claude_v2_2!O22,recreation_claude_v2_1!O22),0),"NA")</f>
        <v>1</v>
      </c>
    </row>
    <row r="23" spans="1:15" x14ac:dyDescent="0.25">
      <c r="A23" t="s">
        <v>16</v>
      </c>
      <c r="B23" t="s">
        <v>45</v>
      </c>
      <c r="C23">
        <v>0</v>
      </c>
      <c r="D23">
        <v>9.4123070240020752</v>
      </c>
      <c r="E23">
        <f>ROUND(SUM(recreation_claude_v2_5!E23,recreation_claude_v2_4!E23,recreation_claude_v2_3!E23,recreation_claude_v2_2!E23,recreation_claude_v2_1!E23)/COUNT(recreation_claude_v2_5!E23,recreation_claude_v2_4!E23,recreation_claude_v2_3!E23,recreation_claude_v2_2!E23,recreation_claude_v2_1!E23),0)</f>
        <v>1</v>
      </c>
      <c r="F23">
        <f>IF($E23 = 1,ROUND(SUM(recreation_claude_v2_5!F23,recreation_claude_v2_4!F23,recreation_claude_v2_3!F23,recreation_claude_v2_2!F23,recreation_claude_v2_1!F23)/COUNT(recreation_claude_v2_5!F23,recreation_claude_v2_4!F23,recreation_claude_v2_3!F23,recreation_claude_v2_2!F23,recreation_claude_v2_1!F23),0),"NA")</f>
        <v>1</v>
      </c>
      <c r="G23">
        <f>IF($E23 = 1,ROUND(SUM(recreation_claude_v2_5!G23,recreation_claude_v2_4!G23,recreation_claude_v2_3!G23,recreation_claude_v2_2!G23,recreation_claude_v2_1!G23)/COUNT(recreation_claude_v2_5!G23,recreation_claude_v2_4!G23,recreation_claude_v2_3!G23,recreation_claude_v2_2!G23,recreation_claude_v2_1!G23),0),"NA")</f>
        <v>1</v>
      </c>
      <c r="H23">
        <f>IF($E23 = 1,ROUND(SUM(recreation_claude_v2_5!I23,recreation_claude_v2_4!I23,recreation_claude_v2_3!I23,recreation_claude_v2_2!I23,recreation_claude_v2_1!I23)/COUNT(recreation_claude_v2_5!I23,recreation_claude_v2_4!I23,recreation_claude_v2_3!I23,recreation_claude_v2_2!I23,recreation_claude_v2_1!I23),0),"NA")</f>
        <v>1</v>
      </c>
      <c r="I23">
        <f>IF($F23 = 1,ROUND(SUM(recreation_claude_v2_5!J23,recreation_claude_v2_4!J23,recreation_claude_v2_3!J23,recreation_claude_v2_2!J23,recreation_claude_v2_1!J23)/COUNT(recreation_claude_v2_5!J23,recreation_claude_v2_4!J23,recreation_claude_v2_3!J23,recreation_claude_v2_2!J23,recreation_claude_v2_1!J23),0),"NA")</f>
        <v>1</v>
      </c>
      <c r="J23">
        <f>IF($E23 = 1,ROUND(SUM(recreation_claude_v2_5!K23,recreation_claude_v2_4!K23,recreation_claude_v2_3!K23,recreation_claude_v2_2!K23,recreation_claude_v2_1!K23)/COUNT(recreation_claude_v2_5!K23,recreation_claude_v2_4!K23,recreation_claude_v2_3!K23,recreation_claude_v2_2!K23,recreation_claude_v2_1!K23),0),"NA")</f>
        <v>1</v>
      </c>
      <c r="K23">
        <f>IF(AND($F23 = 1, $G23 = 1),ROUND(SUM(recreation_claude_v2_5!L23,recreation_claude_v2_4!L23,recreation_claude_v2_3!L23,recreation_claude_v2_2!L23,recreation_claude_v2_1!L23)/COUNT(recreation_claude_v2_5!L23,recreation_claude_v2_4!L23,recreation_claude_v2_3!L23,recreation_claude_v2_2!L23,recreation_claude_v2_1!L23),0),"NA")</f>
        <v>1</v>
      </c>
      <c r="L23">
        <f>IF($E23 = 1,ROUND(SUM(recreation_claude_v2_5!L23,recreation_claude_v2_4!L23,recreation_claude_v2_3!L23,recreation_claude_v2_2!L23,recreation_claude_v2_1!L23)/COUNT(recreation_claude_v2_5!L23,recreation_claude_v2_4!L23,recreation_claude_v2_3!L23,recreation_claude_v2_2!L23,recreation_claude_v2_1!L23),0),"NA")</f>
        <v>1</v>
      </c>
      <c r="M23">
        <f>IF($E23 = 1,ROUND(SUM(recreation_claude_v2_5!M23,recreation_claude_v2_4!M23,recreation_claude_v2_3!M23,recreation_claude_v2_2!M23,recreation_claude_v2_1!M23)/COUNT(recreation_claude_v2_5!M23,recreation_claude_v2_4!M23,recreation_claude_v2_3!M23,recreation_claude_v2_2!M23,recreation_claude_v2_1!M23),0),"NA")</f>
        <v>1</v>
      </c>
      <c r="N23">
        <f>IF($E23 = 1,ROUND(SUM(recreation_claude_v2_5!N23,recreation_claude_v2_4!N23,recreation_claude_v2_3!N23,recreation_claude_v2_2!N23,recreation_claude_v2_1!N23)/COUNT(recreation_claude_v2_5!N23,recreation_claude_v2_4!N23,recreation_claude_v2_3!N23,recreation_claude_v2_2!N23,recreation_claude_v2_1!N23),0),"NA")</f>
        <v>1</v>
      </c>
      <c r="O23">
        <f>IF($E23 = 1,ROUND(SUM(recreation_claude_v2_5!O23,recreation_claude_v2_4!O23,recreation_claude_v2_3!O23,recreation_claude_v2_2!O23,recreation_claude_v2_1!O23)/COUNT(recreation_claude_v2_5!O23,recreation_claude_v2_4!O23,recreation_claude_v2_3!O23,recreation_claude_v2_2!O23,recreation_claude_v2_1!O23),0),"NA")</f>
        <v>1</v>
      </c>
    </row>
    <row r="24" spans="1:15" x14ac:dyDescent="0.25">
      <c r="A24" t="s">
        <v>16</v>
      </c>
      <c r="B24" t="s">
        <v>46</v>
      </c>
      <c r="C24">
        <v>0</v>
      </c>
      <c r="D24">
        <v>9.0084974765777588</v>
      </c>
      <c r="E24">
        <f>ROUND(SUM(recreation_claude_v2_5!E24,recreation_claude_v2_4!E24,recreation_claude_v2_3!E24,recreation_claude_v2_2!E24,recreation_claude_v2_1!E24)/COUNT(recreation_claude_v2_5!E24,recreation_claude_v2_4!E24,recreation_claude_v2_3!E24,recreation_claude_v2_2!E24,recreation_claude_v2_1!E24),0)</f>
        <v>1</v>
      </c>
      <c r="F24">
        <f>IF($E24 = 1,ROUND(SUM(recreation_claude_v2_5!F24,recreation_claude_v2_4!F24,recreation_claude_v2_3!F24,recreation_claude_v2_2!F24,recreation_claude_v2_1!F24)/COUNT(recreation_claude_v2_5!F24,recreation_claude_v2_4!F24,recreation_claude_v2_3!F24,recreation_claude_v2_2!F24,recreation_claude_v2_1!F24),0),"NA")</f>
        <v>1</v>
      </c>
      <c r="G24">
        <f>IF($E24 = 1,ROUND(SUM(recreation_claude_v2_5!G24,recreation_claude_v2_4!G24,recreation_claude_v2_3!G24,recreation_claude_v2_2!G24,recreation_claude_v2_1!G24)/COUNT(recreation_claude_v2_5!G24,recreation_claude_v2_4!G24,recreation_claude_v2_3!G24,recreation_claude_v2_2!G24,recreation_claude_v2_1!G24),0),"NA")</f>
        <v>1</v>
      </c>
      <c r="H24">
        <f>IF($E24 = 1,ROUND(SUM(recreation_claude_v2_5!I24,recreation_claude_v2_4!I24,recreation_claude_v2_3!I24,recreation_claude_v2_2!I24,recreation_claude_v2_1!I24)/COUNT(recreation_claude_v2_5!I24,recreation_claude_v2_4!I24,recreation_claude_v2_3!I24,recreation_claude_v2_2!I24,recreation_claude_v2_1!I24),0),"NA")</f>
        <v>1</v>
      </c>
      <c r="I24">
        <f>IF($F24 = 1,ROUND(SUM(recreation_claude_v2_5!J24,recreation_claude_v2_4!J24,recreation_claude_v2_3!J24,recreation_claude_v2_2!J24,recreation_claude_v2_1!J24)/COUNT(recreation_claude_v2_5!J24,recreation_claude_v2_4!J24,recreation_claude_v2_3!J24,recreation_claude_v2_2!J24,recreation_claude_v2_1!J24),0),"NA")</f>
        <v>1</v>
      </c>
      <c r="J24">
        <f>IF($E24 = 1,ROUND(SUM(recreation_claude_v2_5!K24,recreation_claude_v2_4!K24,recreation_claude_v2_3!K24,recreation_claude_v2_2!K24,recreation_claude_v2_1!K24)/COUNT(recreation_claude_v2_5!K24,recreation_claude_v2_4!K24,recreation_claude_v2_3!K24,recreation_claude_v2_2!K24,recreation_claude_v2_1!K24),0),"NA")</f>
        <v>1</v>
      </c>
      <c r="K24">
        <f>IF(AND($F24 = 1, $G24 = 1),ROUND(SUM(recreation_claude_v2_5!L24,recreation_claude_v2_4!L24,recreation_claude_v2_3!L24,recreation_claude_v2_2!L24,recreation_claude_v2_1!L24)/COUNT(recreation_claude_v2_5!L24,recreation_claude_v2_4!L24,recreation_claude_v2_3!L24,recreation_claude_v2_2!L24,recreation_claude_v2_1!L24),0),"NA")</f>
        <v>1</v>
      </c>
      <c r="L24">
        <f>IF($E24 = 1,ROUND(SUM(recreation_claude_v2_5!L24,recreation_claude_v2_4!L24,recreation_claude_v2_3!L24,recreation_claude_v2_2!L24,recreation_claude_v2_1!L24)/COUNT(recreation_claude_v2_5!L24,recreation_claude_v2_4!L24,recreation_claude_v2_3!L24,recreation_claude_v2_2!L24,recreation_claude_v2_1!L24),0),"NA")</f>
        <v>1</v>
      </c>
      <c r="M24">
        <f>IF($E24 = 1,ROUND(SUM(recreation_claude_v2_5!M24,recreation_claude_v2_4!M24,recreation_claude_v2_3!M24,recreation_claude_v2_2!M24,recreation_claude_v2_1!M24)/COUNT(recreation_claude_v2_5!M24,recreation_claude_v2_4!M24,recreation_claude_v2_3!M24,recreation_claude_v2_2!M24,recreation_claude_v2_1!M24),0),"NA")</f>
        <v>1</v>
      </c>
      <c r="N24">
        <f>IF($E24 = 1,ROUND(SUM(recreation_claude_v2_5!N24,recreation_claude_v2_4!N24,recreation_claude_v2_3!N24,recreation_claude_v2_2!N24,recreation_claude_v2_1!N24)/COUNT(recreation_claude_v2_5!N24,recreation_claude_v2_4!N24,recreation_claude_v2_3!N24,recreation_claude_v2_2!N24,recreation_claude_v2_1!N24),0),"NA")</f>
        <v>1</v>
      </c>
      <c r="O24">
        <f>IF($E24 = 1,ROUND(SUM(recreation_claude_v2_5!O24,recreation_claude_v2_4!O24,recreation_claude_v2_3!O24,recreation_claude_v2_2!O24,recreation_claude_v2_1!O24)/COUNT(recreation_claude_v2_5!O24,recreation_claude_v2_4!O24,recreation_claude_v2_3!O24,recreation_claude_v2_2!O24,recreation_claude_v2_1!O24),0),"NA")</f>
        <v>1</v>
      </c>
    </row>
    <row r="25" spans="1:15" x14ac:dyDescent="0.25">
      <c r="A25" t="s">
        <v>16</v>
      </c>
      <c r="B25" t="s">
        <v>47</v>
      </c>
      <c r="C25">
        <v>0</v>
      </c>
      <c r="D25">
        <v>3.0714173316955571</v>
      </c>
      <c r="E25">
        <f>ROUND(SUM(recreation_claude_v2_5!E25,recreation_claude_v2_4!E25,recreation_claude_v2_3!E25,recreation_claude_v2_2!E25,recreation_claude_v2_1!E25)/COUNT(recreation_claude_v2_5!E25,recreation_claude_v2_4!E25,recreation_claude_v2_3!E25,recreation_claude_v2_2!E25,recreation_claude_v2_1!E25),0)</f>
        <v>1</v>
      </c>
      <c r="F25">
        <f>IF($E25 = 1,ROUND(SUM(recreation_claude_v2_5!F25,recreation_claude_v2_4!F25,recreation_claude_v2_3!F25,recreation_claude_v2_2!F25,recreation_claude_v2_1!F25)/COUNT(recreation_claude_v2_5!F25,recreation_claude_v2_4!F25,recreation_claude_v2_3!F25,recreation_claude_v2_2!F25,recreation_claude_v2_1!F25),0),"NA")</f>
        <v>1</v>
      </c>
      <c r="G25">
        <f>IF($E25 = 1,ROUND(SUM(recreation_claude_v2_5!G25,recreation_claude_v2_4!G25,recreation_claude_v2_3!G25,recreation_claude_v2_2!G25,recreation_claude_v2_1!G25)/COUNT(recreation_claude_v2_5!G25,recreation_claude_v2_4!G25,recreation_claude_v2_3!G25,recreation_claude_v2_2!G25,recreation_claude_v2_1!G25),0),"NA")</f>
        <v>1</v>
      </c>
      <c r="H25">
        <f>IF($E25 = 1,ROUND(SUM(recreation_claude_v2_5!I25,recreation_claude_v2_4!I25,recreation_claude_v2_3!I25,recreation_claude_v2_2!I25,recreation_claude_v2_1!I25)/COUNT(recreation_claude_v2_5!I25,recreation_claude_v2_4!I25,recreation_claude_v2_3!I25,recreation_claude_v2_2!I25,recreation_claude_v2_1!I25),0),"NA")</f>
        <v>1</v>
      </c>
      <c r="I25">
        <f>IF($F25 = 1,ROUND(SUM(recreation_claude_v2_5!J25,recreation_claude_v2_4!J25,recreation_claude_v2_3!J25,recreation_claude_v2_2!J25,recreation_claude_v2_1!J25)/COUNT(recreation_claude_v2_5!J25,recreation_claude_v2_4!J25,recreation_claude_v2_3!J25,recreation_claude_v2_2!J25,recreation_claude_v2_1!J25),0),"NA")</f>
        <v>1</v>
      </c>
      <c r="J25">
        <f>IF($E25 = 1,ROUND(SUM(recreation_claude_v2_5!K25,recreation_claude_v2_4!K25,recreation_claude_v2_3!K25,recreation_claude_v2_2!K25,recreation_claude_v2_1!K25)/COUNT(recreation_claude_v2_5!K25,recreation_claude_v2_4!K25,recreation_claude_v2_3!K25,recreation_claude_v2_2!K25,recreation_claude_v2_1!K25),0),"NA")</f>
        <v>1</v>
      </c>
      <c r="K25">
        <f>IF(AND($F25 = 1, $G25 = 1),ROUND(SUM(recreation_claude_v2_5!L25,recreation_claude_v2_4!L25,recreation_claude_v2_3!L25,recreation_claude_v2_2!L25,recreation_claude_v2_1!L25)/COUNT(recreation_claude_v2_5!L25,recreation_claude_v2_4!L25,recreation_claude_v2_3!L25,recreation_claude_v2_2!L25,recreation_claude_v2_1!L25),0),"NA")</f>
        <v>1</v>
      </c>
      <c r="L25">
        <f>IF($E25 = 1,ROUND(SUM(recreation_claude_v2_5!L25,recreation_claude_v2_4!L25,recreation_claude_v2_3!L25,recreation_claude_v2_2!L25,recreation_claude_v2_1!L25)/COUNT(recreation_claude_v2_5!L25,recreation_claude_v2_4!L25,recreation_claude_v2_3!L25,recreation_claude_v2_2!L25,recreation_claude_v2_1!L25),0),"NA")</f>
        <v>1</v>
      </c>
      <c r="M25">
        <f>IF($E25 = 1,ROUND(SUM(recreation_claude_v2_5!M25,recreation_claude_v2_4!M25,recreation_claude_v2_3!M25,recreation_claude_v2_2!M25,recreation_claude_v2_1!M25)/COUNT(recreation_claude_v2_5!M25,recreation_claude_v2_4!M25,recreation_claude_v2_3!M25,recreation_claude_v2_2!M25,recreation_claude_v2_1!M25),0),"NA")</f>
        <v>1</v>
      </c>
      <c r="N25">
        <f>IF($E25 = 1,ROUND(SUM(recreation_claude_v2_5!N25,recreation_claude_v2_4!N25,recreation_claude_v2_3!N25,recreation_claude_v2_2!N25,recreation_claude_v2_1!N25)/COUNT(recreation_claude_v2_5!N25,recreation_claude_v2_4!N25,recreation_claude_v2_3!N25,recreation_claude_v2_2!N25,recreation_claude_v2_1!N25),0),"NA")</f>
        <v>1</v>
      </c>
      <c r="O25">
        <f>IF($E25 = 1,ROUND(SUM(recreation_claude_v2_5!O25,recreation_claude_v2_4!O25,recreation_claude_v2_3!O25,recreation_claude_v2_2!O25,recreation_claude_v2_1!O25)/COUNT(recreation_claude_v2_5!O25,recreation_claude_v2_4!O25,recreation_claude_v2_3!O25,recreation_claude_v2_2!O25,recreation_claude_v2_1!O25),0),"NA")</f>
        <v>1</v>
      </c>
    </row>
    <row r="26" spans="1:15" x14ac:dyDescent="0.25">
      <c r="A26" t="s">
        <v>16</v>
      </c>
      <c r="B26" t="s">
        <v>48</v>
      </c>
      <c r="C26">
        <v>0</v>
      </c>
      <c r="D26">
        <v>8.3874447345733643</v>
      </c>
      <c r="E26">
        <f>ROUND(SUM(recreation_claude_v2_5!E26,recreation_claude_v2_4!E26,recreation_claude_v2_3!E26,recreation_claude_v2_2!E26,recreation_claude_v2_1!E26)/COUNT(recreation_claude_v2_5!E26,recreation_claude_v2_4!E26,recreation_claude_v2_3!E26,recreation_claude_v2_2!E26,recreation_claude_v2_1!E26),0)</f>
        <v>1</v>
      </c>
      <c r="F26">
        <f>IF($E26 = 1,ROUND(SUM(recreation_claude_v2_5!F26,recreation_claude_v2_4!F26,recreation_claude_v2_3!F26,recreation_claude_v2_2!F26,recreation_claude_v2_1!F26)/COUNT(recreation_claude_v2_5!F26,recreation_claude_v2_4!F26,recreation_claude_v2_3!F26,recreation_claude_v2_2!F26,recreation_claude_v2_1!F26),0),"NA")</f>
        <v>1</v>
      </c>
      <c r="G26">
        <f>IF($E26 = 1,ROUND(SUM(recreation_claude_v2_5!G26,recreation_claude_v2_4!G26,recreation_claude_v2_3!G26,recreation_claude_v2_2!G26,recreation_claude_v2_1!G26)/COUNT(recreation_claude_v2_5!G26,recreation_claude_v2_4!G26,recreation_claude_v2_3!G26,recreation_claude_v2_2!G26,recreation_claude_v2_1!G26),0),"NA")</f>
        <v>1</v>
      </c>
      <c r="H26">
        <f>IF($E26 = 1,ROUND(SUM(recreation_claude_v2_5!I26,recreation_claude_v2_4!I26,recreation_claude_v2_3!I26,recreation_claude_v2_2!I26,recreation_claude_v2_1!I26)/COUNT(recreation_claude_v2_5!I26,recreation_claude_v2_4!I26,recreation_claude_v2_3!I26,recreation_claude_v2_2!I26,recreation_claude_v2_1!I26),0),"NA")</f>
        <v>1</v>
      </c>
      <c r="I26">
        <f>IF($F26 = 1,ROUND(SUM(recreation_claude_v2_5!J26,recreation_claude_v2_4!J26,recreation_claude_v2_3!J26,recreation_claude_v2_2!J26,recreation_claude_v2_1!J26)/COUNT(recreation_claude_v2_5!J26,recreation_claude_v2_4!J26,recreation_claude_v2_3!J26,recreation_claude_v2_2!J26,recreation_claude_v2_1!J26),0),"NA")</f>
        <v>1</v>
      </c>
      <c r="J26">
        <f>IF($E26 = 1,ROUND(SUM(recreation_claude_v2_5!K26,recreation_claude_v2_4!K26,recreation_claude_v2_3!K26,recreation_claude_v2_2!K26,recreation_claude_v2_1!K26)/COUNT(recreation_claude_v2_5!K26,recreation_claude_v2_4!K26,recreation_claude_v2_3!K26,recreation_claude_v2_2!K26,recreation_claude_v2_1!K26),0),"NA")</f>
        <v>1</v>
      </c>
      <c r="K26">
        <f>IF(AND($F26 = 1, $G26 = 1),ROUND(SUM(recreation_claude_v2_5!L26,recreation_claude_v2_4!L26,recreation_claude_v2_3!L26,recreation_claude_v2_2!L26,recreation_claude_v2_1!L26)/COUNT(recreation_claude_v2_5!L26,recreation_claude_v2_4!L26,recreation_claude_v2_3!L26,recreation_claude_v2_2!L26,recreation_claude_v2_1!L26),0),"NA")</f>
        <v>1</v>
      </c>
      <c r="L26">
        <f>IF($E26 = 1,ROUND(SUM(recreation_claude_v2_5!L26,recreation_claude_v2_4!L26,recreation_claude_v2_3!L26,recreation_claude_v2_2!L26,recreation_claude_v2_1!L26)/COUNT(recreation_claude_v2_5!L26,recreation_claude_v2_4!L26,recreation_claude_v2_3!L26,recreation_claude_v2_2!L26,recreation_claude_v2_1!L26),0),"NA")</f>
        <v>1</v>
      </c>
      <c r="M26">
        <f>IF($E26 = 1,ROUND(SUM(recreation_claude_v2_5!M26,recreation_claude_v2_4!M26,recreation_claude_v2_3!M26,recreation_claude_v2_2!M26,recreation_claude_v2_1!M26)/COUNT(recreation_claude_v2_5!M26,recreation_claude_v2_4!M26,recreation_claude_v2_3!M26,recreation_claude_v2_2!M26,recreation_claude_v2_1!M26),0),"NA")</f>
        <v>1</v>
      </c>
      <c r="N26">
        <f>IF($E26 = 1,ROUND(SUM(recreation_claude_v2_5!N26,recreation_claude_v2_4!N26,recreation_claude_v2_3!N26,recreation_claude_v2_2!N26,recreation_claude_v2_1!N26)/COUNT(recreation_claude_v2_5!N26,recreation_claude_v2_4!N26,recreation_claude_v2_3!N26,recreation_claude_v2_2!N26,recreation_claude_v2_1!N26),0),"NA")</f>
        <v>1</v>
      </c>
      <c r="O26">
        <f>IF($E26 = 1,ROUND(SUM(recreation_claude_v2_5!O26,recreation_claude_v2_4!O26,recreation_claude_v2_3!O26,recreation_claude_v2_2!O26,recreation_claude_v2_1!O26)/COUNT(recreation_claude_v2_5!O26,recreation_claude_v2_4!O26,recreation_claude_v2_3!O26,recreation_claude_v2_2!O26,recreation_claude_v2_1!O26),0),"NA")</f>
        <v>1</v>
      </c>
    </row>
    <row r="27" spans="1:15" x14ac:dyDescent="0.25">
      <c r="A27" t="s">
        <v>16</v>
      </c>
      <c r="B27" t="s">
        <v>49</v>
      </c>
      <c r="C27">
        <v>0</v>
      </c>
      <c r="D27">
        <v>7.6903316974639893</v>
      </c>
      <c r="E27">
        <f>ROUND(SUM(recreation_claude_v2_5!E27,recreation_claude_v2_4!E27,recreation_claude_v2_3!E27,recreation_claude_v2_2!E27,recreation_claude_v2_1!E27)/COUNT(recreation_claude_v2_5!E27,recreation_claude_v2_4!E27,recreation_claude_v2_3!E27,recreation_claude_v2_2!E27,recreation_claude_v2_1!E27),0)</f>
        <v>1</v>
      </c>
      <c r="F27">
        <f>IF($E27 = 1,ROUND(SUM(recreation_claude_v2_5!F27,recreation_claude_v2_4!F27,recreation_claude_v2_3!F27,recreation_claude_v2_2!F27,recreation_claude_v2_1!F27)/COUNT(recreation_claude_v2_5!F27,recreation_claude_v2_4!F27,recreation_claude_v2_3!F27,recreation_claude_v2_2!F27,recreation_claude_v2_1!F27),0),"NA")</f>
        <v>0</v>
      </c>
      <c r="G27">
        <f>IF($E27 = 1,ROUND(SUM(recreation_claude_v2_5!G27,recreation_claude_v2_4!G27,recreation_claude_v2_3!G27,recreation_claude_v2_2!G27,recreation_claude_v2_1!G27)/COUNT(recreation_claude_v2_5!G27,recreation_claude_v2_4!G27,recreation_claude_v2_3!G27,recreation_claude_v2_2!G27,recreation_claude_v2_1!G27),0),"NA")</f>
        <v>1</v>
      </c>
      <c r="H27">
        <f>IF($E27 = 1,ROUND(SUM(recreation_claude_v2_5!I27,recreation_claude_v2_4!I27,recreation_claude_v2_3!I27,recreation_claude_v2_2!I27,recreation_claude_v2_1!I27)/COUNT(recreation_claude_v2_5!I27,recreation_claude_v2_4!I27,recreation_claude_v2_3!I27,recreation_claude_v2_2!I27,recreation_claude_v2_1!I27),0),"NA")</f>
        <v>1</v>
      </c>
      <c r="I27" t="str">
        <f>IF($F27 = 1,ROUND(SUM(recreation_claude_v2_5!J27,recreation_claude_v2_4!J27,recreation_claude_v2_3!J27,recreation_claude_v2_2!J27,recreation_claude_v2_1!J27)/COUNT(recreation_claude_v2_5!J27,recreation_claude_v2_4!J27,recreation_claude_v2_3!J27,recreation_claude_v2_2!J27,recreation_claude_v2_1!J27),0),"NA")</f>
        <v>NA</v>
      </c>
      <c r="J27">
        <f>IF($E27 = 1,ROUND(SUM(recreation_claude_v2_5!K27,recreation_claude_v2_4!K27,recreation_claude_v2_3!K27,recreation_claude_v2_2!K27,recreation_claude_v2_1!K27)/COUNT(recreation_claude_v2_5!K27,recreation_claude_v2_4!K27,recreation_claude_v2_3!K27,recreation_claude_v2_2!K27,recreation_claude_v2_1!K27),0),"NA")</f>
        <v>1</v>
      </c>
      <c r="K27" t="str">
        <f>IF(AND($F27 = 1, $G27 = 1),ROUND(SUM(recreation_claude_v2_5!L27,recreation_claude_v2_4!L27,recreation_claude_v2_3!L27,recreation_claude_v2_2!L27,recreation_claude_v2_1!L27)/COUNT(recreation_claude_v2_5!L27,recreation_claude_v2_4!L27,recreation_claude_v2_3!L27,recreation_claude_v2_2!L27,recreation_claude_v2_1!L27),0),"NA")</f>
        <v>NA</v>
      </c>
      <c r="L27">
        <f>IF($E27 = 1,ROUND(SUM(recreation_claude_v2_5!L27,recreation_claude_v2_4!L27,recreation_claude_v2_3!L27,recreation_claude_v2_2!L27,recreation_claude_v2_1!L27)/COUNT(recreation_claude_v2_5!L27,recreation_claude_v2_4!L27,recreation_claude_v2_3!L27,recreation_claude_v2_2!L27,recreation_claude_v2_1!L27),0),"NA")</f>
        <v>1</v>
      </c>
      <c r="M27">
        <f>IF($E27 = 1,ROUND(SUM(recreation_claude_v2_5!M27,recreation_claude_v2_4!M27,recreation_claude_v2_3!M27,recreation_claude_v2_2!M27,recreation_claude_v2_1!M27)/COUNT(recreation_claude_v2_5!M27,recreation_claude_v2_4!M27,recreation_claude_v2_3!M27,recreation_claude_v2_2!M27,recreation_claude_v2_1!M27),0),"NA")</f>
        <v>1</v>
      </c>
      <c r="N27">
        <f>IF($E27 = 1,ROUND(SUM(recreation_claude_v2_5!N27,recreation_claude_v2_4!N27,recreation_claude_v2_3!N27,recreation_claude_v2_2!N27,recreation_claude_v2_1!N27)/COUNT(recreation_claude_v2_5!N27,recreation_claude_v2_4!N27,recreation_claude_v2_3!N27,recreation_claude_v2_2!N27,recreation_claude_v2_1!N27),0),"NA")</f>
        <v>1</v>
      </c>
      <c r="O27">
        <f>IF($E27 = 1,ROUND(SUM(recreation_claude_v2_5!O27,recreation_claude_v2_4!O27,recreation_claude_v2_3!O27,recreation_claude_v2_2!O27,recreation_claude_v2_1!O27)/COUNT(recreation_claude_v2_5!O27,recreation_claude_v2_4!O27,recreation_claude_v2_3!O27,recreation_claude_v2_2!O27,recreation_claude_v2_1!O27),0),"NA")</f>
        <v>1</v>
      </c>
    </row>
    <row r="28" spans="1:15" x14ac:dyDescent="0.25">
      <c r="A28" t="s">
        <v>16</v>
      </c>
      <c r="B28" t="s">
        <v>51</v>
      </c>
      <c r="C28">
        <v>0</v>
      </c>
      <c r="D28">
        <v>14.286864995956419</v>
      </c>
      <c r="E28">
        <f>ROUND(SUM(recreation_claude_v2_5!E28,recreation_claude_v2_4!E28,recreation_claude_v2_3!E28,recreation_claude_v2_2!E28,recreation_claude_v2_1!E28)/COUNT(recreation_claude_v2_5!E28,recreation_claude_v2_4!E28,recreation_claude_v2_3!E28,recreation_claude_v2_2!E28,recreation_claude_v2_1!E28),0)</f>
        <v>1</v>
      </c>
      <c r="F28">
        <f>IF($E28 = 1,ROUND(SUM(recreation_claude_v2_5!F28,recreation_claude_v2_4!F28,recreation_claude_v2_3!F28,recreation_claude_v2_2!F28,recreation_claude_v2_1!F28)/COUNT(recreation_claude_v2_5!F28,recreation_claude_v2_4!F28,recreation_claude_v2_3!F28,recreation_claude_v2_2!F28,recreation_claude_v2_1!F28),0),"NA")</f>
        <v>0</v>
      </c>
      <c r="G28">
        <f>IF($E28 = 1,ROUND(SUM(recreation_claude_v2_5!G28,recreation_claude_v2_4!G28,recreation_claude_v2_3!G28,recreation_claude_v2_2!G28,recreation_claude_v2_1!G28)/COUNT(recreation_claude_v2_5!G28,recreation_claude_v2_4!G28,recreation_claude_v2_3!G28,recreation_claude_v2_2!G28,recreation_claude_v2_1!G28),0),"NA")</f>
        <v>1</v>
      </c>
      <c r="H28">
        <f>IF($E28 = 1,ROUND(SUM(recreation_claude_v2_5!I28,recreation_claude_v2_4!I28,recreation_claude_v2_3!I28,recreation_claude_v2_2!I28,recreation_claude_v2_1!I28)/COUNT(recreation_claude_v2_5!I28,recreation_claude_v2_4!I28,recreation_claude_v2_3!I28,recreation_claude_v2_2!I28,recreation_claude_v2_1!I28),0),"NA")</f>
        <v>1</v>
      </c>
      <c r="I28" t="str">
        <f>IF($F28 = 1,ROUND(SUM(recreation_claude_v2_5!J28,recreation_claude_v2_4!J28,recreation_claude_v2_3!J28,recreation_claude_v2_2!J28,recreation_claude_v2_1!J28)/COUNT(recreation_claude_v2_5!J28,recreation_claude_v2_4!J28,recreation_claude_v2_3!J28,recreation_claude_v2_2!J28,recreation_claude_v2_1!J28),0),"NA")</f>
        <v>NA</v>
      </c>
      <c r="J28">
        <f>IF($E28 = 1,ROUND(SUM(recreation_claude_v2_5!K28,recreation_claude_v2_4!K28,recreation_claude_v2_3!K28,recreation_claude_v2_2!K28,recreation_claude_v2_1!K28)/COUNT(recreation_claude_v2_5!K28,recreation_claude_v2_4!K28,recreation_claude_v2_3!K28,recreation_claude_v2_2!K28,recreation_claude_v2_1!K28),0),"NA")</f>
        <v>1</v>
      </c>
      <c r="K28" t="str">
        <f>IF(AND($F28 = 1, $G28 = 1),ROUND(SUM(recreation_claude_v2_5!L28,recreation_claude_v2_4!L28,recreation_claude_v2_3!L28,recreation_claude_v2_2!L28,recreation_claude_v2_1!L28)/COUNT(recreation_claude_v2_5!L28,recreation_claude_v2_4!L28,recreation_claude_v2_3!L28,recreation_claude_v2_2!L28,recreation_claude_v2_1!L28),0),"NA")</f>
        <v>NA</v>
      </c>
      <c r="L28">
        <f>IF($E28 = 1,ROUND(SUM(recreation_claude_v2_5!L28,recreation_claude_v2_4!L28,recreation_claude_v2_3!L28,recreation_claude_v2_2!L28,recreation_claude_v2_1!L28)/COUNT(recreation_claude_v2_5!L28,recreation_claude_v2_4!L28,recreation_claude_v2_3!L28,recreation_claude_v2_2!L28,recreation_claude_v2_1!L28),0),"NA")</f>
        <v>1</v>
      </c>
      <c r="M28">
        <f>IF($E28 = 1,ROUND(SUM(recreation_claude_v2_5!M28,recreation_claude_v2_4!M28,recreation_claude_v2_3!M28,recreation_claude_v2_2!M28,recreation_claude_v2_1!M28)/COUNT(recreation_claude_v2_5!M28,recreation_claude_v2_4!M28,recreation_claude_v2_3!M28,recreation_claude_v2_2!M28,recreation_claude_v2_1!M28),0),"NA")</f>
        <v>1</v>
      </c>
      <c r="N28">
        <f>IF($E28 = 1,ROUND(SUM(recreation_claude_v2_5!N28,recreation_claude_v2_4!N28,recreation_claude_v2_3!N28,recreation_claude_v2_2!N28,recreation_claude_v2_1!N28)/COUNT(recreation_claude_v2_5!N28,recreation_claude_v2_4!N28,recreation_claude_v2_3!N28,recreation_claude_v2_2!N28,recreation_claude_v2_1!N28),0),"NA")</f>
        <v>1</v>
      </c>
      <c r="O28">
        <f>IF($E28 = 1,ROUND(SUM(recreation_claude_v2_5!O28,recreation_claude_v2_4!O28,recreation_claude_v2_3!O28,recreation_claude_v2_2!O28,recreation_claude_v2_1!O28)/COUNT(recreation_claude_v2_5!O28,recreation_claude_v2_4!O28,recreation_claude_v2_3!O28,recreation_claude_v2_2!O28,recreation_claude_v2_1!O28),0),"NA")</f>
        <v>1</v>
      </c>
    </row>
    <row r="29" spans="1:15" x14ac:dyDescent="0.25">
      <c r="A29" t="s">
        <v>16</v>
      </c>
      <c r="B29" t="s">
        <v>53</v>
      </c>
      <c r="C29">
        <v>0</v>
      </c>
      <c r="D29">
        <v>9.6711001396179199</v>
      </c>
      <c r="E29">
        <f>ROUND(SUM(recreation_claude_v2_5!E29,recreation_claude_v2_4!E29,recreation_claude_v2_3!E29,recreation_claude_v2_2!E29,recreation_claude_v2_1!E29)/COUNT(recreation_claude_v2_5!E29,recreation_claude_v2_4!E29,recreation_claude_v2_3!E29,recreation_claude_v2_2!E29,recreation_claude_v2_1!E29),0)</f>
        <v>1</v>
      </c>
      <c r="F29">
        <f>IF($E29 = 1,ROUND(SUM(recreation_claude_v2_5!F29,recreation_claude_v2_4!F29,recreation_claude_v2_3!F29,recreation_claude_v2_2!F29,recreation_claude_v2_1!F29)/COUNT(recreation_claude_v2_5!F29,recreation_claude_v2_4!F29,recreation_claude_v2_3!F29,recreation_claude_v2_2!F29,recreation_claude_v2_1!F29),0),"NA")</f>
        <v>1</v>
      </c>
      <c r="G29">
        <f>IF($E29 = 1,ROUND(SUM(recreation_claude_v2_5!G29,recreation_claude_v2_4!G29,recreation_claude_v2_3!G29,recreation_claude_v2_2!G29,recreation_claude_v2_1!G29)/COUNT(recreation_claude_v2_5!G29,recreation_claude_v2_4!G29,recreation_claude_v2_3!G29,recreation_claude_v2_2!G29,recreation_claude_v2_1!G29),0),"NA")</f>
        <v>1</v>
      </c>
      <c r="H29">
        <f>IF($E29 = 1,ROUND(SUM(recreation_claude_v2_5!I29,recreation_claude_v2_4!I29,recreation_claude_v2_3!I29,recreation_claude_v2_2!I29,recreation_claude_v2_1!I29)/COUNT(recreation_claude_v2_5!I29,recreation_claude_v2_4!I29,recreation_claude_v2_3!I29,recreation_claude_v2_2!I29,recreation_claude_v2_1!I29),0),"NA")</f>
        <v>1</v>
      </c>
      <c r="I29">
        <f>IF($F29 = 1,ROUND(SUM(recreation_claude_v2_5!J29,recreation_claude_v2_4!J29,recreation_claude_v2_3!J29,recreation_claude_v2_2!J29,recreation_claude_v2_1!J29)/COUNT(recreation_claude_v2_5!J29,recreation_claude_v2_4!J29,recreation_claude_v2_3!J29,recreation_claude_v2_2!J29,recreation_claude_v2_1!J29),0),"NA")</f>
        <v>1</v>
      </c>
      <c r="J29">
        <f>IF($E29 = 1,ROUND(SUM(recreation_claude_v2_5!K29,recreation_claude_v2_4!K29,recreation_claude_v2_3!K29,recreation_claude_v2_2!K29,recreation_claude_v2_1!K29)/COUNT(recreation_claude_v2_5!K29,recreation_claude_v2_4!K29,recreation_claude_v2_3!K29,recreation_claude_v2_2!K29,recreation_claude_v2_1!K29),0),"NA")</f>
        <v>1</v>
      </c>
      <c r="K29">
        <f>IF(AND($F29 = 1, $G29 = 1),ROUND(SUM(recreation_claude_v2_5!L29,recreation_claude_v2_4!L29,recreation_claude_v2_3!L29,recreation_claude_v2_2!L29,recreation_claude_v2_1!L29)/COUNT(recreation_claude_v2_5!L29,recreation_claude_v2_4!L29,recreation_claude_v2_3!L29,recreation_claude_v2_2!L29,recreation_claude_v2_1!L29),0),"NA")</f>
        <v>1</v>
      </c>
      <c r="L29">
        <f>IF($E29 = 1,ROUND(SUM(recreation_claude_v2_5!L29,recreation_claude_v2_4!L29,recreation_claude_v2_3!L29,recreation_claude_v2_2!L29,recreation_claude_v2_1!L29)/COUNT(recreation_claude_v2_5!L29,recreation_claude_v2_4!L29,recreation_claude_v2_3!L29,recreation_claude_v2_2!L29,recreation_claude_v2_1!L29),0),"NA")</f>
        <v>1</v>
      </c>
      <c r="M29">
        <f>IF($E29 = 1,ROUND(SUM(recreation_claude_v2_5!M29,recreation_claude_v2_4!M29,recreation_claude_v2_3!M29,recreation_claude_v2_2!M29,recreation_claude_v2_1!M29)/COUNT(recreation_claude_v2_5!M29,recreation_claude_v2_4!M29,recreation_claude_v2_3!M29,recreation_claude_v2_2!M29,recreation_claude_v2_1!M29),0),"NA")</f>
        <v>1</v>
      </c>
      <c r="N29">
        <f>IF($E29 = 1,ROUND(SUM(recreation_claude_v2_5!N29,recreation_claude_v2_4!N29,recreation_claude_v2_3!N29,recreation_claude_v2_2!N29,recreation_claude_v2_1!N29)/COUNT(recreation_claude_v2_5!N29,recreation_claude_v2_4!N29,recreation_claude_v2_3!N29,recreation_claude_v2_2!N29,recreation_claude_v2_1!N29),0),"NA")</f>
        <v>1</v>
      </c>
      <c r="O29">
        <f>IF($E29 = 1,ROUND(SUM(recreation_claude_v2_5!O29,recreation_claude_v2_4!O29,recreation_claude_v2_3!O29,recreation_claude_v2_2!O29,recreation_claude_v2_1!O29)/COUNT(recreation_claude_v2_5!O29,recreation_claude_v2_4!O29,recreation_claude_v2_3!O29,recreation_claude_v2_2!O29,recreation_claude_v2_1!O29),0),"NA")</f>
        <v>1</v>
      </c>
    </row>
    <row r="30" spans="1:15" x14ac:dyDescent="0.25">
      <c r="A30" t="s">
        <v>16</v>
      </c>
      <c r="B30" t="s">
        <v>54</v>
      </c>
      <c r="C30">
        <v>0</v>
      </c>
      <c r="D30">
        <v>7.8149142265319824</v>
      </c>
      <c r="E30">
        <f>ROUND(SUM(recreation_claude_v2_5!E30,recreation_claude_v2_4!E30,recreation_claude_v2_3!E30,recreation_claude_v2_2!E30,recreation_claude_v2_1!E30)/COUNT(recreation_claude_v2_5!E30,recreation_claude_v2_4!E30,recreation_claude_v2_3!E30,recreation_claude_v2_2!E30,recreation_claude_v2_1!E30),0)</f>
        <v>1</v>
      </c>
      <c r="F30">
        <f>IF($E30 = 1,ROUND(SUM(recreation_claude_v2_5!F30,recreation_claude_v2_4!F30,recreation_claude_v2_3!F30,recreation_claude_v2_2!F30,recreation_claude_v2_1!F30)/COUNT(recreation_claude_v2_5!F30,recreation_claude_v2_4!F30,recreation_claude_v2_3!F30,recreation_claude_v2_2!F30,recreation_claude_v2_1!F30),0),"NA")</f>
        <v>1</v>
      </c>
      <c r="G30">
        <f>IF($E30 = 1,ROUND(SUM(recreation_claude_v2_5!G30,recreation_claude_v2_4!G30,recreation_claude_v2_3!G30,recreation_claude_v2_2!G30,recreation_claude_v2_1!G30)/COUNT(recreation_claude_v2_5!G30,recreation_claude_v2_4!G30,recreation_claude_v2_3!G30,recreation_claude_v2_2!G30,recreation_claude_v2_1!G30),0),"NA")</f>
        <v>0</v>
      </c>
      <c r="H30">
        <f>IF($E30 = 1,ROUND(SUM(recreation_claude_v2_5!I30,recreation_claude_v2_4!I30,recreation_claude_v2_3!I30,recreation_claude_v2_2!I30,recreation_claude_v2_1!I30)/COUNT(recreation_claude_v2_5!I30,recreation_claude_v2_4!I30,recreation_claude_v2_3!I30,recreation_claude_v2_2!I30,recreation_claude_v2_1!I30),0),"NA")</f>
        <v>1</v>
      </c>
      <c r="I30">
        <f>IF($F30 = 1,ROUND(SUM(recreation_claude_v2_5!J30,recreation_claude_v2_4!J30,recreation_claude_v2_3!J30,recreation_claude_v2_2!J30,recreation_claude_v2_1!J30)/COUNT(recreation_claude_v2_5!J30,recreation_claude_v2_4!J30,recreation_claude_v2_3!J30,recreation_claude_v2_2!J30,recreation_claude_v2_1!J30),0),"NA")</f>
        <v>1</v>
      </c>
      <c r="J30">
        <f>IF($E30 = 1,ROUND(SUM(recreation_claude_v2_5!K30,recreation_claude_v2_4!K30,recreation_claude_v2_3!K30,recreation_claude_v2_2!K30,recreation_claude_v2_1!K30)/COUNT(recreation_claude_v2_5!K30,recreation_claude_v2_4!K30,recreation_claude_v2_3!K30,recreation_claude_v2_2!K30,recreation_claude_v2_1!K30),0),"NA")</f>
        <v>1</v>
      </c>
      <c r="K30" t="str">
        <f>IF(AND($F30 = 1, $G30 = 1),ROUND(SUM(recreation_claude_v2_5!L30,recreation_claude_v2_4!L30,recreation_claude_v2_3!L30,recreation_claude_v2_2!L30,recreation_claude_v2_1!L30)/COUNT(recreation_claude_v2_5!L30,recreation_claude_v2_4!L30,recreation_claude_v2_3!L30,recreation_claude_v2_2!L30,recreation_claude_v2_1!L30),0),"NA")</f>
        <v>NA</v>
      </c>
      <c r="L30">
        <f>IF($E30 = 1,ROUND(SUM(recreation_claude_v2_5!L30,recreation_claude_v2_4!L30,recreation_claude_v2_3!L30,recreation_claude_v2_2!L30,recreation_claude_v2_1!L30)/COUNT(recreation_claude_v2_5!L30,recreation_claude_v2_4!L30,recreation_claude_v2_3!L30,recreation_claude_v2_2!L30,recreation_claude_v2_1!L30),0),"NA")</f>
        <v>1</v>
      </c>
      <c r="M30">
        <f>IF($E30 = 1,ROUND(SUM(recreation_claude_v2_5!M30,recreation_claude_v2_4!M30,recreation_claude_v2_3!M30,recreation_claude_v2_2!M30,recreation_claude_v2_1!M30)/COUNT(recreation_claude_v2_5!M30,recreation_claude_v2_4!M30,recreation_claude_v2_3!M30,recreation_claude_v2_2!M30,recreation_claude_v2_1!M30),0),"NA")</f>
        <v>1</v>
      </c>
      <c r="N30">
        <f>IF($E30 = 1,ROUND(SUM(recreation_claude_v2_5!N30,recreation_claude_v2_4!N30,recreation_claude_v2_3!N30,recreation_claude_v2_2!N30,recreation_claude_v2_1!N30)/COUNT(recreation_claude_v2_5!N30,recreation_claude_v2_4!N30,recreation_claude_v2_3!N30,recreation_claude_v2_2!N30,recreation_claude_v2_1!N30),0),"NA")</f>
        <v>1</v>
      </c>
      <c r="O30">
        <f>IF($E30 = 1,ROUND(SUM(recreation_claude_v2_5!O30,recreation_claude_v2_4!O30,recreation_claude_v2_3!O30,recreation_claude_v2_2!O30,recreation_claude_v2_1!O30)/COUNT(recreation_claude_v2_5!O30,recreation_claude_v2_4!O30,recreation_claude_v2_3!O30,recreation_claude_v2_2!O30,recreation_claude_v2_1!O30),0),"NA")</f>
        <v>1</v>
      </c>
    </row>
    <row r="31" spans="1:15" x14ac:dyDescent="0.25">
      <c r="A31" t="s">
        <v>16</v>
      </c>
      <c r="B31" t="s">
        <v>56</v>
      </c>
      <c r="C31">
        <v>0</v>
      </c>
      <c r="D31">
        <v>11.536116123199459</v>
      </c>
      <c r="E31">
        <f>ROUND(SUM(recreation_claude_v2_5!E31,recreation_claude_v2_4!E31,recreation_claude_v2_3!E31,recreation_claude_v2_2!E31,recreation_claude_v2_1!E31)/COUNT(recreation_claude_v2_5!E31,recreation_claude_v2_4!E31,recreation_claude_v2_3!E31,recreation_claude_v2_2!E31,recreation_claude_v2_1!E31),0)</f>
        <v>1</v>
      </c>
      <c r="F31">
        <f>IF($E31 = 1,ROUND(SUM(recreation_claude_v2_5!F31,recreation_claude_v2_4!F31,recreation_claude_v2_3!F31,recreation_claude_v2_2!F31,recreation_claude_v2_1!F31)/COUNT(recreation_claude_v2_5!F31,recreation_claude_v2_4!F31,recreation_claude_v2_3!F31,recreation_claude_v2_2!F31,recreation_claude_v2_1!F31),0),"NA")</f>
        <v>0</v>
      </c>
      <c r="G31">
        <f>IF($E31 = 1,ROUND(SUM(recreation_claude_v2_5!G31,recreation_claude_v2_4!G31,recreation_claude_v2_3!G31,recreation_claude_v2_2!G31,recreation_claude_v2_1!G31)/COUNT(recreation_claude_v2_5!G31,recreation_claude_v2_4!G31,recreation_claude_v2_3!G31,recreation_claude_v2_2!G31,recreation_claude_v2_1!G31),0),"NA")</f>
        <v>1</v>
      </c>
      <c r="H31">
        <f>IF($E31 = 1,ROUND(SUM(recreation_claude_v2_5!I31,recreation_claude_v2_4!I31,recreation_claude_v2_3!I31,recreation_claude_v2_2!I31,recreation_claude_v2_1!I31)/COUNT(recreation_claude_v2_5!I31,recreation_claude_v2_4!I31,recreation_claude_v2_3!I31,recreation_claude_v2_2!I31,recreation_claude_v2_1!I31),0),"NA")</f>
        <v>1</v>
      </c>
      <c r="I31" t="str">
        <f>IF($F31 = 1,ROUND(SUM(recreation_claude_v2_5!J31,recreation_claude_v2_4!J31,recreation_claude_v2_3!J31,recreation_claude_v2_2!J31,recreation_claude_v2_1!J31)/COUNT(recreation_claude_v2_5!J31,recreation_claude_v2_4!J31,recreation_claude_v2_3!J31,recreation_claude_v2_2!J31,recreation_claude_v2_1!J31),0),"NA")</f>
        <v>NA</v>
      </c>
      <c r="J31">
        <f>IF($E31 = 1,ROUND(SUM(recreation_claude_v2_5!K31,recreation_claude_v2_4!K31,recreation_claude_v2_3!K31,recreation_claude_v2_2!K31,recreation_claude_v2_1!K31)/COUNT(recreation_claude_v2_5!K31,recreation_claude_v2_4!K31,recreation_claude_v2_3!K31,recreation_claude_v2_2!K31,recreation_claude_v2_1!K31),0),"NA")</f>
        <v>1</v>
      </c>
      <c r="K31" t="str">
        <f>IF(AND($F31 = 1, $G31 = 1),ROUND(SUM(recreation_claude_v2_5!L31,recreation_claude_v2_4!L31,recreation_claude_v2_3!L31,recreation_claude_v2_2!L31,recreation_claude_v2_1!L31)/COUNT(recreation_claude_v2_5!L31,recreation_claude_v2_4!L31,recreation_claude_v2_3!L31,recreation_claude_v2_2!L31,recreation_claude_v2_1!L31),0),"NA")</f>
        <v>NA</v>
      </c>
      <c r="L31">
        <f>IF($E31 = 1,ROUND(SUM(recreation_claude_v2_5!L31,recreation_claude_v2_4!L31,recreation_claude_v2_3!L31,recreation_claude_v2_2!L31,recreation_claude_v2_1!L31)/COUNT(recreation_claude_v2_5!L31,recreation_claude_v2_4!L31,recreation_claude_v2_3!L31,recreation_claude_v2_2!L31,recreation_claude_v2_1!L31),0),"NA")</f>
        <v>1</v>
      </c>
      <c r="M31">
        <f>IF($E31 = 1,ROUND(SUM(recreation_claude_v2_5!M31,recreation_claude_v2_4!M31,recreation_claude_v2_3!M31,recreation_claude_v2_2!M31,recreation_claude_v2_1!M31)/COUNT(recreation_claude_v2_5!M31,recreation_claude_v2_4!M31,recreation_claude_v2_3!M31,recreation_claude_v2_2!M31,recreation_claude_v2_1!M31),0),"NA")</f>
        <v>1</v>
      </c>
      <c r="N31">
        <f>IF($E31 = 1,ROUND(SUM(recreation_claude_v2_5!N31,recreation_claude_v2_4!N31,recreation_claude_v2_3!N31,recreation_claude_v2_2!N31,recreation_claude_v2_1!N31)/COUNT(recreation_claude_v2_5!N31,recreation_claude_v2_4!N31,recreation_claude_v2_3!N31,recreation_claude_v2_2!N31,recreation_claude_v2_1!N31),0),"NA")</f>
        <v>1</v>
      </c>
      <c r="O31">
        <f>IF($E31 = 1,ROUND(SUM(recreation_claude_v2_5!O31,recreation_claude_v2_4!O31,recreation_claude_v2_3!O31,recreation_claude_v2_2!O31,recreation_claude_v2_1!O31)/COUNT(recreation_claude_v2_5!O31,recreation_claude_v2_4!O31,recreation_claude_v2_3!O31,recreation_claude_v2_2!O31,recreation_claude_v2_1!O31),0),"NA")</f>
        <v>1</v>
      </c>
    </row>
    <row r="32" spans="1:15" x14ac:dyDescent="0.25">
      <c r="A32" t="s">
        <v>16</v>
      </c>
      <c r="B32" t="s">
        <v>58</v>
      </c>
      <c r="C32">
        <v>0</v>
      </c>
      <c r="D32">
        <v>11.13632202148438</v>
      </c>
      <c r="E32">
        <f>ROUND(SUM(recreation_claude_v2_5!E32,recreation_claude_v2_4!E32,recreation_claude_v2_3!E32,recreation_claude_v2_2!E32,recreation_claude_v2_1!E32)/COUNT(recreation_claude_v2_5!E32,recreation_claude_v2_4!E32,recreation_claude_v2_3!E32,recreation_claude_v2_2!E32,recreation_claude_v2_1!E32),0)</f>
        <v>1</v>
      </c>
      <c r="F32">
        <f>IF($E32 = 1,ROUND(SUM(recreation_claude_v2_5!F32,recreation_claude_v2_4!F32,recreation_claude_v2_3!F32,recreation_claude_v2_2!F32,recreation_claude_v2_1!F32)/COUNT(recreation_claude_v2_5!F32,recreation_claude_v2_4!F32,recreation_claude_v2_3!F32,recreation_claude_v2_2!F32,recreation_claude_v2_1!F32),0),"NA")</f>
        <v>0</v>
      </c>
      <c r="G32">
        <f>IF($E32 = 1,ROUND(SUM(recreation_claude_v2_5!G32,recreation_claude_v2_4!G32,recreation_claude_v2_3!G32,recreation_claude_v2_2!G32,recreation_claude_v2_1!G32)/COUNT(recreation_claude_v2_5!G32,recreation_claude_v2_4!G32,recreation_claude_v2_3!G32,recreation_claude_v2_2!G32,recreation_claude_v2_1!G32),0),"NA")</f>
        <v>1</v>
      </c>
      <c r="H32">
        <f>IF($E32 = 1,ROUND(SUM(recreation_claude_v2_5!I32,recreation_claude_v2_4!I32,recreation_claude_v2_3!I32,recreation_claude_v2_2!I32,recreation_claude_v2_1!I32)/COUNT(recreation_claude_v2_5!I32,recreation_claude_v2_4!I32,recreation_claude_v2_3!I32,recreation_claude_v2_2!I32,recreation_claude_v2_1!I32),0),"NA")</f>
        <v>1</v>
      </c>
      <c r="I32" t="str">
        <f>IF($F32 = 1,ROUND(SUM(recreation_claude_v2_5!J32,recreation_claude_v2_4!J32,recreation_claude_v2_3!J32,recreation_claude_v2_2!J32,recreation_claude_v2_1!J32)/COUNT(recreation_claude_v2_5!J32,recreation_claude_v2_4!J32,recreation_claude_v2_3!J32,recreation_claude_v2_2!J32,recreation_claude_v2_1!J32),0),"NA")</f>
        <v>NA</v>
      </c>
      <c r="J32">
        <f>IF($E32 = 1,ROUND(SUM(recreation_claude_v2_5!K32,recreation_claude_v2_4!K32,recreation_claude_v2_3!K32,recreation_claude_v2_2!K32,recreation_claude_v2_1!K32)/COUNT(recreation_claude_v2_5!K32,recreation_claude_v2_4!K32,recreation_claude_v2_3!K32,recreation_claude_v2_2!K32,recreation_claude_v2_1!K32),0),"NA")</f>
        <v>1</v>
      </c>
      <c r="K32" t="str">
        <f>IF(AND($F32 = 1, $G32 = 1),ROUND(SUM(recreation_claude_v2_5!L32,recreation_claude_v2_4!L32,recreation_claude_v2_3!L32,recreation_claude_v2_2!L32,recreation_claude_v2_1!L32)/COUNT(recreation_claude_v2_5!L32,recreation_claude_v2_4!L32,recreation_claude_v2_3!L32,recreation_claude_v2_2!L32,recreation_claude_v2_1!L32),0),"NA")</f>
        <v>NA</v>
      </c>
      <c r="L32">
        <f>IF($E32 = 1,ROUND(SUM(recreation_claude_v2_5!L32,recreation_claude_v2_4!L32,recreation_claude_v2_3!L32,recreation_claude_v2_2!L32,recreation_claude_v2_1!L32)/COUNT(recreation_claude_v2_5!L32,recreation_claude_v2_4!L32,recreation_claude_v2_3!L32,recreation_claude_v2_2!L32,recreation_claude_v2_1!L32),0),"NA")</f>
        <v>1</v>
      </c>
      <c r="M32">
        <f>IF($E32 = 1,ROUND(SUM(recreation_claude_v2_5!M32,recreation_claude_v2_4!M32,recreation_claude_v2_3!M32,recreation_claude_v2_2!M32,recreation_claude_v2_1!M32)/COUNT(recreation_claude_v2_5!M32,recreation_claude_v2_4!M32,recreation_claude_v2_3!M32,recreation_claude_v2_2!M32,recreation_claude_v2_1!M32),0),"NA")</f>
        <v>1</v>
      </c>
      <c r="N32">
        <f>IF($E32 = 1,ROUND(SUM(recreation_claude_v2_5!N32,recreation_claude_v2_4!N32,recreation_claude_v2_3!N32,recreation_claude_v2_2!N32,recreation_claude_v2_1!N32)/COUNT(recreation_claude_v2_5!N32,recreation_claude_v2_4!N32,recreation_claude_v2_3!N32,recreation_claude_v2_2!N32,recreation_claude_v2_1!N32),0),"NA")</f>
        <v>1</v>
      </c>
      <c r="O32">
        <f>IF($E32 = 1,ROUND(SUM(recreation_claude_v2_5!O32,recreation_claude_v2_4!O32,recreation_claude_v2_3!O32,recreation_claude_v2_2!O32,recreation_claude_v2_1!O32)/COUNT(recreation_claude_v2_5!O32,recreation_claude_v2_4!O32,recreation_claude_v2_3!O32,recreation_claude_v2_2!O32,recreation_claude_v2_1!O32),0),"NA")</f>
        <v>1</v>
      </c>
    </row>
    <row r="33" spans="1:15" x14ac:dyDescent="0.25">
      <c r="A33" t="s">
        <v>16</v>
      </c>
      <c r="B33" t="s">
        <v>60</v>
      </c>
      <c r="C33">
        <v>0</v>
      </c>
      <c r="D33">
        <v>11.40390229225159</v>
      </c>
      <c r="E33">
        <f>ROUND(SUM(recreation_claude_v2_5!E33,recreation_claude_v2_4!E33,recreation_claude_v2_3!E33,recreation_claude_v2_2!E33,recreation_claude_v2_1!E33)/COUNT(recreation_claude_v2_5!E33,recreation_claude_v2_4!E33,recreation_claude_v2_3!E33,recreation_claude_v2_2!E33,recreation_claude_v2_1!E33),0)</f>
        <v>1</v>
      </c>
      <c r="F33">
        <f>IF($E33 = 1,ROUND(SUM(recreation_claude_v2_5!F33,recreation_claude_v2_4!F33,recreation_claude_v2_3!F33,recreation_claude_v2_2!F33,recreation_claude_v2_1!F33)/COUNT(recreation_claude_v2_5!F33,recreation_claude_v2_4!F33,recreation_claude_v2_3!F33,recreation_claude_v2_2!F33,recreation_claude_v2_1!F33),0),"NA")</f>
        <v>0</v>
      </c>
      <c r="G33">
        <f>IF($E33 = 1,ROUND(SUM(recreation_claude_v2_5!G33,recreation_claude_v2_4!G33,recreation_claude_v2_3!G33,recreation_claude_v2_2!G33,recreation_claude_v2_1!G33)/COUNT(recreation_claude_v2_5!G33,recreation_claude_v2_4!G33,recreation_claude_v2_3!G33,recreation_claude_v2_2!G33,recreation_claude_v2_1!G33),0),"NA")</f>
        <v>1</v>
      </c>
      <c r="H33">
        <f>IF($E33 = 1,ROUND(SUM(recreation_claude_v2_5!I33,recreation_claude_v2_4!I33,recreation_claude_v2_3!I33,recreation_claude_v2_2!I33,recreation_claude_v2_1!I33)/COUNT(recreation_claude_v2_5!I33,recreation_claude_v2_4!I33,recreation_claude_v2_3!I33,recreation_claude_v2_2!I33,recreation_claude_v2_1!I33),0),"NA")</f>
        <v>1</v>
      </c>
      <c r="I33" t="str">
        <f>IF($F33 = 1,ROUND(SUM(recreation_claude_v2_5!J33,recreation_claude_v2_4!J33,recreation_claude_v2_3!J33,recreation_claude_v2_2!J33,recreation_claude_v2_1!J33)/COUNT(recreation_claude_v2_5!J33,recreation_claude_v2_4!J33,recreation_claude_v2_3!J33,recreation_claude_v2_2!J33,recreation_claude_v2_1!J33),0),"NA")</f>
        <v>NA</v>
      </c>
      <c r="J33">
        <f>IF($E33 = 1,ROUND(SUM(recreation_claude_v2_5!K33,recreation_claude_v2_4!K33,recreation_claude_v2_3!K33,recreation_claude_v2_2!K33,recreation_claude_v2_1!K33)/COUNT(recreation_claude_v2_5!K33,recreation_claude_v2_4!K33,recreation_claude_v2_3!K33,recreation_claude_v2_2!K33,recreation_claude_v2_1!K33),0),"NA")</f>
        <v>1</v>
      </c>
      <c r="K33" t="str">
        <f>IF(AND($F33 = 1, $G33 = 1),ROUND(SUM(recreation_claude_v2_5!L33,recreation_claude_v2_4!L33,recreation_claude_v2_3!L33,recreation_claude_v2_2!L33,recreation_claude_v2_1!L33)/COUNT(recreation_claude_v2_5!L33,recreation_claude_v2_4!L33,recreation_claude_v2_3!L33,recreation_claude_v2_2!L33,recreation_claude_v2_1!L33),0),"NA")</f>
        <v>NA</v>
      </c>
      <c r="L33">
        <f>IF($E33 = 1,ROUND(SUM(recreation_claude_v2_5!L33,recreation_claude_v2_4!L33,recreation_claude_v2_3!L33,recreation_claude_v2_2!L33,recreation_claude_v2_1!L33)/COUNT(recreation_claude_v2_5!L33,recreation_claude_v2_4!L33,recreation_claude_v2_3!L33,recreation_claude_v2_2!L33,recreation_claude_v2_1!L33),0),"NA")</f>
        <v>1</v>
      </c>
      <c r="M33">
        <f>IF($E33 = 1,ROUND(SUM(recreation_claude_v2_5!M33,recreation_claude_v2_4!M33,recreation_claude_v2_3!M33,recreation_claude_v2_2!M33,recreation_claude_v2_1!M33)/COUNT(recreation_claude_v2_5!M33,recreation_claude_v2_4!M33,recreation_claude_v2_3!M33,recreation_claude_v2_2!M33,recreation_claude_v2_1!M33),0),"NA")</f>
        <v>1</v>
      </c>
      <c r="N33">
        <f>IF($E33 = 1,ROUND(SUM(recreation_claude_v2_5!N33,recreation_claude_v2_4!N33,recreation_claude_v2_3!N33,recreation_claude_v2_2!N33,recreation_claude_v2_1!N33)/COUNT(recreation_claude_v2_5!N33,recreation_claude_v2_4!N33,recreation_claude_v2_3!N33,recreation_claude_v2_2!N33,recreation_claude_v2_1!N33),0),"NA")</f>
        <v>1</v>
      </c>
      <c r="O33">
        <f>IF($E33 = 1,ROUND(SUM(recreation_claude_v2_5!O33,recreation_claude_v2_4!O33,recreation_claude_v2_3!O33,recreation_claude_v2_2!O33,recreation_claude_v2_1!O33)/COUNT(recreation_claude_v2_5!O33,recreation_claude_v2_4!O33,recreation_claude_v2_3!O33,recreation_claude_v2_2!O33,recreation_claude_v2_1!O33),0),"NA")</f>
        <v>1</v>
      </c>
    </row>
    <row r="34" spans="1:15" x14ac:dyDescent="0.25">
      <c r="A34" t="s">
        <v>16</v>
      </c>
      <c r="B34" t="s">
        <v>62</v>
      </c>
      <c r="C34">
        <v>0</v>
      </c>
      <c r="D34">
        <v>14.81010460853577</v>
      </c>
      <c r="E34">
        <f>ROUND(SUM(recreation_claude_v2_5!E34,recreation_claude_v2_4!E34,recreation_claude_v2_3!E34,recreation_claude_v2_2!E34,recreation_claude_v2_1!E34)/COUNT(recreation_claude_v2_5!E34,recreation_claude_v2_4!E34,recreation_claude_v2_3!E34,recreation_claude_v2_2!E34,recreation_claude_v2_1!E34),0)</f>
        <v>0</v>
      </c>
      <c r="F34" t="str">
        <f>IF($E34 = 1,ROUND(SUM(recreation_claude_v2_5!F34,recreation_claude_v2_4!F34,recreation_claude_v2_3!F34,recreation_claude_v2_2!F34,recreation_claude_v2_1!F34)/COUNT(recreation_claude_v2_5!F34,recreation_claude_v2_4!F34,recreation_claude_v2_3!F34,recreation_claude_v2_2!F34,recreation_claude_v2_1!F34),0),"NA")</f>
        <v>NA</v>
      </c>
      <c r="G34" t="str">
        <f>IF($E34 = 1,ROUND(SUM(recreation_claude_v2_5!G34,recreation_claude_v2_4!G34,recreation_claude_v2_3!G34,recreation_claude_v2_2!G34,recreation_claude_v2_1!G34)/COUNT(recreation_claude_v2_5!G34,recreation_claude_v2_4!G34,recreation_claude_v2_3!G34,recreation_claude_v2_2!G34,recreation_claude_v2_1!G34),0),"NA")</f>
        <v>NA</v>
      </c>
      <c r="H34" t="str">
        <f>IF($E34 = 1,ROUND(SUM(recreation_claude_v2_5!I34,recreation_claude_v2_4!I34,recreation_claude_v2_3!I34,recreation_claude_v2_2!I34,recreation_claude_v2_1!I34)/COUNT(recreation_claude_v2_5!I34,recreation_claude_v2_4!I34,recreation_claude_v2_3!I34,recreation_claude_v2_2!I34,recreation_claude_v2_1!I34),0),"NA")</f>
        <v>NA</v>
      </c>
      <c r="I34" t="str">
        <f>IF($F34 = 1,ROUND(SUM(recreation_claude_v2_5!J34,recreation_claude_v2_4!J34,recreation_claude_v2_3!J34,recreation_claude_v2_2!J34,recreation_claude_v2_1!J34)/COUNT(recreation_claude_v2_5!J34,recreation_claude_v2_4!J34,recreation_claude_v2_3!J34,recreation_claude_v2_2!J34,recreation_claude_v2_1!J34),0),"NA")</f>
        <v>NA</v>
      </c>
      <c r="J34" t="str">
        <f>IF($E34 = 1,ROUND(SUM(recreation_claude_v2_5!K34,recreation_claude_v2_4!K34,recreation_claude_v2_3!K34,recreation_claude_v2_2!K34,recreation_claude_v2_1!K34)/COUNT(recreation_claude_v2_5!K34,recreation_claude_v2_4!K34,recreation_claude_v2_3!K34,recreation_claude_v2_2!K34,recreation_claude_v2_1!K34),0),"NA")</f>
        <v>NA</v>
      </c>
      <c r="K34" t="str">
        <f>IF(AND($F34 = 1, $G34 = 1),ROUND(SUM(recreation_claude_v2_5!L34,recreation_claude_v2_4!L34,recreation_claude_v2_3!L34,recreation_claude_v2_2!L34,recreation_claude_v2_1!L34)/COUNT(recreation_claude_v2_5!L34,recreation_claude_v2_4!L34,recreation_claude_v2_3!L34,recreation_claude_v2_2!L34,recreation_claude_v2_1!L34),0),"NA")</f>
        <v>NA</v>
      </c>
      <c r="L34" t="str">
        <f>IF($E34 = 1,ROUND(SUM(recreation_claude_v2_5!L34,recreation_claude_v2_4!L34,recreation_claude_v2_3!L34,recreation_claude_v2_2!L34,recreation_claude_v2_1!L34)/COUNT(recreation_claude_v2_5!L34,recreation_claude_v2_4!L34,recreation_claude_v2_3!L34,recreation_claude_v2_2!L34,recreation_claude_v2_1!L34),0),"NA")</f>
        <v>NA</v>
      </c>
      <c r="M34" t="str">
        <f>IF($E34 = 1,ROUND(SUM(recreation_claude_v2_5!M34,recreation_claude_v2_4!M34,recreation_claude_v2_3!M34,recreation_claude_v2_2!M34,recreation_claude_v2_1!M34)/COUNT(recreation_claude_v2_5!M34,recreation_claude_v2_4!M34,recreation_claude_v2_3!M34,recreation_claude_v2_2!M34,recreation_claude_v2_1!M34),0),"NA")</f>
        <v>NA</v>
      </c>
      <c r="N34" t="str">
        <f>IF($E34 = 1,ROUND(SUM(recreation_claude_v2_5!N34,recreation_claude_v2_4!N34,recreation_claude_v2_3!N34,recreation_claude_v2_2!N34,recreation_claude_v2_1!N34)/COUNT(recreation_claude_v2_5!N34,recreation_claude_v2_4!N34,recreation_claude_v2_3!N34,recreation_claude_v2_2!N34,recreation_claude_v2_1!N34),0),"NA")</f>
        <v>NA</v>
      </c>
      <c r="O34" t="str">
        <f>IF($E34 = 1,ROUND(SUM(recreation_claude_v2_5!O34,recreation_claude_v2_4!O34,recreation_claude_v2_3!O34,recreation_claude_v2_2!O34,recreation_claude_v2_1!O34)/COUNT(recreation_claude_v2_5!O34,recreation_claude_v2_4!O34,recreation_claude_v2_3!O34,recreation_claude_v2_2!O34,recreation_claude_v2_1!O34),0),"NA")</f>
        <v>NA</v>
      </c>
    </row>
    <row r="35" spans="1:15" x14ac:dyDescent="0.25">
      <c r="A35" t="s">
        <v>16</v>
      </c>
      <c r="B35" t="s">
        <v>64</v>
      </c>
      <c r="C35">
        <v>0</v>
      </c>
      <c r="D35">
        <v>10.96451115608215</v>
      </c>
      <c r="E35">
        <f>ROUND(SUM(recreation_claude_v2_5!E35,recreation_claude_v2_4!E35,recreation_claude_v2_3!E35,recreation_claude_v2_2!E35,recreation_claude_v2_1!E35)/COUNT(recreation_claude_v2_5!E35,recreation_claude_v2_4!E35,recreation_claude_v2_3!E35,recreation_claude_v2_2!E35,recreation_claude_v2_1!E35),0)</f>
        <v>1</v>
      </c>
      <c r="F35">
        <f>IF($E35 = 1,ROUND(SUM(recreation_claude_v2_5!F35,recreation_claude_v2_4!F35,recreation_claude_v2_3!F35,recreation_claude_v2_2!F35,recreation_claude_v2_1!F35)/COUNT(recreation_claude_v2_5!F35,recreation_claude_v2_4!F35,recreation_claude_v2_3!F35,recreation_claude_v2_2!F35,recreation_claude_v2_1!F35),0),"NA")</f>
        <v>1</v>
      </c>
      <c r="G35">
        <f>IF($E35 = 1,ROUND(SUM(recreation_claude_v2_5!G35,recreation_claude_v2_4!G35,recreation_claude_v2_3!G35,recreation_claude_v2_2!G35,recreation_claude_v2_1!G35)/COUNT(recreation_claude_v2_5!G35,recreation_claude_v2_4!G35,recreation_claude_v2_3!G35,recreation_claude_v2_2!G35,recreation_claude_v2_1!G35),0),"NA")</f>
        <v>1</v>
      </c>
      <c r="H35">
        <f>IF($E35 = 1,ROUND(SUM(recreation_claude_v2_5!I35,recreation_claude_v2_4!I35,recreation_claude_v2_3!I35,recreation_claude_v2_2!I35,recreation_claude_v2_1!I35)/COUNT(recreation_claude_v2_5!I35,recreation_claude_v2_4!I35,recreation_claude_v2_3!I35,recreation_claude_v2_2!I35,recreation_claude_v2_1!I35),0),"NA")</f>
        <v>1</v>
      </c>
      <c r="I35">
        <f>IF($F35 = 1,ROUND(SUM(recreation_claude_v2_5!J35,recreation_claude_v2_4!J35,recreation_claude_v2_3!J35,recreation_claude_v2_2!J35,recreation_claude_v2_1!J35)/COUNT(recreation_claude_v2_5!J35,recreation_claude_v2_4!J35,recreation_claude_v2_3!J35,recreation_claude_v2_2!J35,recreation_claude_v2_1!J35),0),"NA")</f>
        <v>1</v>
      </c>
      <c r="J35">
        <f>IF($E35 = 1,ROUND(SUM(recreation_claude_v2_5!K35,recreation_claude_v2_4!K35,recreation_claude_v2_3!K35,recreation_claude_v2_2!K35,recreation_claude_v2_1!K35)/COUNT(recreation_claude_v2_5!K35,recreation_claude_v2_4!K35,recreation_claude_v2_3!K35,recreation_claude_v2_2!K35,recreation_claude_v2_1!K35),0),"NA")</f>
        <v>1</v>
      </c>
      <c r="K35">
        <f>IF(AND($F35 = 1, $G35 = 1),ROUND(SUM(recreation_claude_v2_5!L35,recreation_claude_v2_4!L35,recreation_claude_v2_3!L35,recreation_claude_v2_2!L35,recreation_claude_v2_1!L35)/COUNT(recreation_claude_v2_5!L35,recreation_claude_v2_4!L35,recreation_claude_v2_3!L35,recreation_claude_v2_2!L35,recreation_claude_v2_1!L35),0),"NA")</f>
        <v>1</v>
      </c>
      <c r="L35">
        <f>IF($E35 = 1,ROUND(SUM(recreation_claude_v2_5!L35,recreation_claude_v2_4!L35,recreation_claude_v2_3!L35,recreation_claude_v2_2!L35,recreation_claude_v2_1!L35)/COUNT(recreation_claude_v2_5!L35,recreation_claude_v2_4!L35,recreation_claude_v2_3!L35,recreation_claude_v2_2!L35,recreation_claude_v2_1!L35),0),"NA")</f>
        <v>1</v>
      </c>
      <c r="M35">
        <f>IF($E35 = 1,ROUND(SUM(recreation_claude_v2_5!M35,recreation_claude_v2_4!M35,recreation_claude_v2_3!M35,recreation_claude_v2_2!M35,recreation_claude_v2_1!M35)/COUNT(recreation_claude_v2_5!M35,recreation_claude_v2_4!M35,recreation_claude_v2_3!M35,recreation_claude_v2_2!M35,recreation_claude_v2_1!M35),0),"NA")</f>
        <v>1</v>
      </c>
      <c r="N35">
        <f>IF($E35 = 1,ROUND(SUM(recreation_claude_v2_5!N35,recreation_claude_v2_4!N35,recreation_claude_v2_3!N35,recreation_claude_v2_2!N35,recreation_claude_v2_1!N35)/COUNT(recreation_claude_v2_5!N35,recreation_claude_v2_4!N35,recreation_claude_v2_3!N35,recreation_claude_v2_2!N35,recreation_claude_v2_1!N35),0),"NA")</f>
        <v>1</v>
      </c>
      <c r="O35">
        <f>IF($E35 = 1,ROUND(SUM(recreation_claude_v2_5!O35,recreation_claude_v2_4!O35,recreation_claude_v2_3!O35,recreation_claude_v2_2!O35,recreation_claude_v2_1!O35)/COUNT(recreation_claude_v2_5!O35,recreation_claude_v2_4!O35,recreation_claude_v2_3!O35,recreation_claude_v2_2!O35,recreation_claude_v2_1!O35),0),"NA")</f>
        <v>1</v>
      </c>
    </row>
    <row r="36" spans="1:15" x14ac:dyDescent="0.25">
      <c r="A36" t="s">
        <v>16</v>
      </c>
      <c r="B36" t="s">
        <v>66</v>
      </c>
      <c r="C36">
        <v>0</v>
      </c>
      <c r="D36">
        <v>2.842309713363647</v>
      </c>
      <c r="E36">
        <f>ROUND(SUM(recreation_claude_v2_5!E36,recreation_claude_v2_4!E36,recreation_claude_v2_3!E36,recreation_claude_v2_2!E36,recreation_claude_v2_1!E36)/COUNT(recreation_claude_v2_5!E36,recreation_claude_v2_4!E36,recreation_claude_v2_3!E36,recreation_claude_v2_2!E36,recreation_claude_v2_1!E36),0)</f>
        <v>1</v>
      </c>
      <c r="F36">
        <f>IF($E36 = 1,ROUND(SUM(recreation_claude_v2_5!F36,recreation_claude_v2_4!F36,recreation_claude_v2_3!F36,recreation_claude_v2_2!F36,recreation_claude_v2_1!F36)/COUNT(recreation_claude_v2_5!F36,recreation_claude_v2_4!F36,recreation_claude_v2_3!F36,recreation_claude_v2_2!F36,recreation_claude_v2_1!F36),0),"NA")</f>
        <v>1</v>
      </c>
      <c r="G36">
        <f>IF($E36 = 1,ROUND(SUM(recreation_claude_v2_5!G36,recreation_claude_v2_4!G36,recreation_claude_v2_3!G36,recreation_claude_v2_2!G36,recreation_claude_v2_1!G36)/COUNT(recreation_claude_v2_5!G36,recreation_claude_v2_4!G36,recreation_claude_v2_3!G36,recreation_claude_v2_2!G36,recreation_claude_v2_1!G36),0),"NA")</f>
        <v>1</v>
      </c>
      <c r="H36">
        <f>IF($E36 = 1,ROUND(SUM(recreation_claude_v2_5!I36,recreation_claude_v2_4!I36,recreation_claude_v2_3!I36,recreation_claude_v2_2!I36,recreation_claude_v2_1!I36)/COUNT(recreation_claude_v2_5!I36,recreation_claude_v2_4!I36,recreation_claude_v2_3!I36,recreation_claude_v2_2!I36,recreation_claude_v2_1!I36),0),"NA")</f>
        <v>1</v>
      </c>
      <c r="I36">
        <f>IF($F36 = 1,ROUND(SUM(recreation_claude_v2_5!J36,recreation_claude_v2_4!J36,recreation_claude_v2_3!J36,recreation_claude_v2_2!J36,recreation_claude_v2_1!J36)/COUNT(recreation_claude_v2_5!J36,recreation_claude_v2_4!J36,recreation_claude_v2_3!J36,recreation_claude_v2_2!J36,recreation_claude_v2_1!J36),0),"NA")</f>
        <v>1</v>
      </c>
      <c r="J36">
        <f>IF($E36 = 1,ROUND(SUM(recreation_claude_v2_5!K36,recreation_claude_v2_4!K36,recreation_claude_v2_3!K36,recreation_claude_v2_2!K36,recreation_claude_v2_1!K36)/COUNT(recreation_claude_v2_5!K36,recreation_claude_v2_4!K36,recreation_claude_v2_3!K36,recreation_claude_v2_2!K36,recreation_claude_v2_1!K36),0),"NA")</f>
        <v>0</v>
      </c>
      <c r="K36">
        <f>IF(AND($F36 = 1, $G36 = 1),ROUND(SUM(recreation_claude_v2_5!L36,recreation_claude_v2_4!L36,recreation_claude_v2_3!L36,recreation_claude_v2_2!L36,recreation_claude_v2_1!L36)/COUNT(recreation_claude_v2_5!L36,recreation_claude_v2_4!L36,recreation_claude_v2_3!L36,recreation_claude_v2_2!L36,recreation_claude_v2_1!L36),0),"NA")</f>
        <v>1</v>
      </c>
      <c r="L36">
        <f>IF($E36 = 1,ROUND(SUM(recreation_claude_v2_5!L36,recreation_claude_v2_4!L36,recreation_claude_v2_3!L36,recreation_claude_v2_2!L36,recreation_claude_v2_1!L36)/COUNT(recreation_claude_v2_5!L36,recreation_claude_v2_4!L36,recreation_claude_v2_3!L36,recreation_claude_v2_2!L36,recreation_claude_v2_1!L36),0),"NA")</f>
        <v>1</v>
      </c>
      <c r="M36">
        <f>IF($E36 = 1,ROUND(SUM(recreation_claude_v2_5!M36,recreation_claude_v2_4!M36,recreation_claude_v2_3!M36,recreation_claude_v2_2!M36,recreation_claude_v2_1!M36)/COUNT(recreation_claude_v2_5!M36,recreation_claude_v2_4!M36,recreation_claude_v2_3!M36,recreation_claude_v2_2!M36,recreation_claude_v2_1!M36),0),"NA")</f>
        <v>1</v>
      </c>
      <c r="N36">
        <f>IF($E36 = 1,ROUND(SUM(recreation_claude_v2_5!N36,recreation_claude_v2_4!N36,recreation_claude_v2_3!N36,recreation_claude_v2_2!N36,recreation_claude_v2_1!N36)/COUNT(recreation_claude_v2_5!N36,recreation_claude_v2_4!N36,recreation_claude_v2_3!N36,recreation_claude_v2_2!N36,recreation_claude_v2_1!N36),0),"NA")</f>
        <v>1</v>
      </c>
      <c r="O36">
        <f>IF($E36 = 1,ROUND(SUM(recreation_claude_v2_5!O36,recreation_claude_v2_4!O36,recreation_claude_v2_3!O36,recreation_claude_v2_2!O36,recreation_claude_v2_1!O36)/COUNT(recreation_claude_v2_5!O36,recreation_claude_v2_4!O36,recreation_claude_v2_3!O36,recreation_claude_v2_2!O36,recreation_claude_v2_1!O36),0),"NA")</f>
        <v>1</v>
      </c>
    </row>
    <row r="37" spans="1:15" x14ac:dyDescent="0.25">
      <c r="A37" t="s">
        <v>16</v>
      </c>
      <c r="B37" t="s">
        <v>67</v>
      </c>
      <c r="C37">
        <v>0</v>
      </c>
      <c r="D37">
        <v>6.9412949085235596</v>
      </c>
      <c r="E37">
        <f>ROUND(SUM(recreation_claude_v2_5!E37,recreation_claude_v2_4!E37,recreation_claude_v2_3!E37,recreation_claude_v2_2!E37,recreation_claude_v2_1!E37)/COUNT(recreation_claude_v2_5!E37,recreation_claude_v2_4!E37,recreation_claude_v2_3!E37,recreation_claude_v2_2!E37,recreation_claude_v2_1!E37),0)</f>
        <v>1</v>
      </c>
      <c r="F37">
        <f>IF($E37 = 1,ROUND(SUM(recreation_claude_v2_5!F37,recreation_claude_v2_4!F37,recreation_claude_v2_3!F37,recreation_claude_v2_2!F37,recreation_claude_v2_1!F37)/COUNT(recreation_claude_v2_5!F37,recreation_claude_v2_4!F37,recreation_claude_v2_3!F37,recreation_claude_v2_2!F37,recreation_claude_v2_1!F37),0),"NA")</f>
        <v>1</v>
      </c>
      <c r="G37">
        <f>IF($E37 = 1,ROUND(SUM(recreation_claude_v2_5!G37,recreation_claude_v2_4!G37,recreation_claude_v2_3!G37,recreation_claude_v2_2!G37,recreation_claude_v2_1!G37)/COUNT(recreation_claude_v2_5!G37,recreation_claude_v2_4!G37,recreation_claude_v2_3!G37,recreation_claude_v2_2!G37,recreation_claude_v2_1!G37),0),"NA")</f>
        <v>1</v>
      </c>
      <c r="H37">
        <f>IF($E37 = 1,ROUND(SUM(recreation_claude_v2_5!I37,recreation_claude_v2_4!I37,recreation_claude_v2_3!I37,recreation_claude_v2_2!I37,recreation_claude_v2_1!I37)/COUNT(recreation_claude_v2_5!I37,recreation_claude_v2_4!I37,recreation_claude_v2_3!I37,recreation_claude_v2_2!I37,recreation_claude_v2_1!I37),0),"NA")</f>
        <v>1</v>
      </c>
      <c r="I37">
        <f>IF($F37 = 1,ROUND(SUM(recreation_claude_v2_5!J37,recreation_claude_v2_4!J37,recreation_claude_v2_3!J37,recreation_claude_v2_2!J37,recreation_claude_v2_1!J37)/COUNT(recreation_claude_v2_5!J37,recreation_claude_v2_4!J37,recreation_claude_v2_3!J37,recreation_claude_v2_2!J37,recreation_claude_v2_1!J37),0),"NA")</f>
        <v>1</v>
      </c>
      <c r="J37">
        <f>IF($E37 = 1,ROUND(SUM(recreation_claude_v2_5!K37,recreation_claude_v2_4!K37,recreation_claude_v2_3!K37,recreation_claude_v2_2!K37,recreation_claude_v2_1!K37)/COUNT(recreation_claude_v2_5!K37,recreation_claude_v2_4!K37,recreation_claude_v2_3!K37,recreation_claude_v2_2!K37,recreation_claude_v2_1!K37),0),"NA")</f>
        <v>0</v>
      </c>
      <c r="K37">
        <f>IF(AND($F37 = 1, $G37 = 1),ROUND(SUM(recreation_claude_v2_5!L37,recreation_claude_v2_4!L37,recreation_claude_v2_3!L37,recreation_claude_v2_2!L37,recreation_claude_v2_1!L37)/COUNT(recreation_claude_v2_5!L37,recreation_claude_v2_4!L37,recreation_claude_v2_3!L37,recreation_claude_v2_2!L37,recreation_claude_v2_1!L37),0),"NA")</f>
        <v>1</v>
      </c>
      <c r="L37">
        <f>IF($E37 = 1,ROUND(SUM(recreation_claude_v2_5!L37,recreation_claude_v2_4!L37,recreation_claude_v2_3!L37,recreation_claude_v2_2!L37,recreation_claude_v2_1!L37)/COUNT(recreation_claude_v2_5!L37,recreation_claude_v2_4!L37,recreation_claude_v2_3!L37,recreation_claude_v2_2!L37,recreation_claude_v2_1!L37),0),"NA")</f>
        <v>1</v>
      </c>
      <c r="M37">
        <f>IF($E37 = 1,ROUND(SUM(recreation_claude_v2_5!M37,recreation_claude_v2_4!M37,recreation_claude_v2_3!M37,recreation_claude_v2_2!M37,recreation_claude_v2_1!M37)/COUNT(recreation_claude_v2_5!M37,recreation_claude_v2_4!M37,recreation_claude_v2_3!M37,recreation_claude_v2_2!M37,recreation_claude_v2_1!M37),0),"NA")</f>
        <v>1</v>
      </c>
      <c r="N37">
        <f>IF($E37 = 1,ROUND(SUM(recreation_claude_v2_5!N37,recreation_claude_v2_4!N37,recreation_claude_v2_3!N37,recreation_claude_v2_2!N37,recreation_claude_v2_1!N37)/COUNT(recreation_claude_v2_5!N37,recreation_claude_v2_4!N37,recreation_claude_v2_3!N37,recreation_claude_v2_2!N37,recreation_claude_v2_1!N37),0),"NA")</f>
        <v>1</v>
      </c>
      <c r="O37">
        <f>IF($E37 = 1,ROUND(SUM(recreation_claude_v2_5!O37,recreation_claude_v2_4!O37,recreation_claude_v2_3!O37,recreation_claude_v2_2!O37,recreation_claude_v2_1!O37)/COUNT(recreation_claude_v2_5!O37,recreation_claude_v2_4!O37,recreation_claude_v2_3!O37,recreation_claude_v2_2!O37,recreation_claude_v2_1!O37),0),"NA")</f>
        <v>1</v>
      </c>
    </row>
    <row r="38" spans="1:15" x14ac:dyDescent="0.25">
      <c r="A38" t="s">
        <v>16</v>
      </c>
      <c r="B38" t="s">
        <v>69</v>
      </c>
      <c r="C38">
        <v>0</v>
      </c>
      <c r="D38">
        <v>10.952121257781981</v>
      </c>
      <c r="E38">
        <f>ROUND(SUM(recreation_claude_v2_5!E38,recreation_claude_v2_4!E38,recreation_claude_v2_3!E38,recreation_claude_v2_2!E38,recreation_claude_v2_1!E38)/COUNT(recreation_claude_v2_5!E38,recreation_claude_v2_4!E38,recreation_claude_v2_3!E38,recreation_claude_v2_2!E38,recreation_claude_v2_1!E38),0)</f>
        <v>1</v>
      </c>
      <c r="F38">
        <f>IF($E38 = 1,ROUND(SUM(recreation_claude_v2_5!F38,recreation_claude_v2_4!F38,recreation_claude_v2_3!F38,recreation_claude_v2_2!F38,recreation_claude_v2_1!F38)/COUNT(recreation_claude_v2_5!F38,recreation_claude_v2_4!F38,recreation_claude_v2_3!F38,recreation_claude_v2_2!F38,recreation_claude_v2_1!F38),0),"NA")</f>
        <v>1</v>
      </c>
      <c r="G38">
        <f>IF($E38 = 1,ROUND(SUM(recreation_claude_v2_5!G38,recreation_claude_v2_4!G38,recreation_claude_v2_3!G38,recreation_claude_v2_2!G38,recreation_claude_v2_1!G38)/COUNT(recreation_claude_v2_5!G38,recreation_claude_v2_4!G38,recreation_claude_v2_3!G38,recreation_claude_v2_2!G38,recreation_claude_v2_1!G38),0),"NA")</f>
        <v>1</v>
      </c>
      <c r="H38">
        <f>IF($E38 = 1,ROUND(SUM(recreation_claude_v2_5!I38,recreation_claude_v2_4!I38,recreation_claude_v2_3!I38,recreation_claude_v2_2!I38,recreation_claude_v2_1!I38)/COUNT(recreation_claude_v2_5!I38,recreation_claude_v2_4!I38,recreation_claude_v2_3!I38,recreation_claude_v2_2!I38,recreation_claude_v2_1!I38),0),"NA")</f>
        <v>1</v>
      </c>
      <c r="I38">
        <f>IF($F38 = 1,ROUND(SUM(recreation_claude_v2_5!J38,recreation_claude_v2_4!J38,recreation_claude_v2_3!J38,recreation_claude_v2_2!J38,recreation_claude_v2_1!J38)/COUNT(recreation_claude_v2_5!J38,recreation_claude_v2_4!J38,recreation_claude_v2_3!J38,recreation_claude_v2_2!J38,recreation_claude_v2_1!J38),0),"NA")</f>
        <v>1</v>
      </c>
      <c r="J38">
        <f>IF($E38 = 1,ROUND(SUM(recreation_claude_v2_5!K38,recreation_claude_v2_4!K38,recreation_claude_v2_3!K38,recreation_claude_v2_2!K38,recreation_claude_v2_1!K38)/COUNT(recreation_claude_v2_5!K38,recreation_claude_v2_4!K38,recreation_claude_v2_3!K38,recreation_claude_v2_2!K38,recreation_claude_v2_1!K38),0),"NA")</f>
        <v>1</v>
      </c>
      <c r="K38">
        <f>IF(AND($F38 = 1, $G38 = 1),ROUND(SUM(recreation_claude_v2_5!L38,recreation_claude_v2_4!L38,recreation_claude_v2_3!L38,recreation_claude_v2_2!L38,recreation_claude_v2_1!L38)/COUNT(recreation_claude_v2_5!L38,recreation_claude_v2_4!L38,recreation_claude_v2_3!L38,recreation_claude_v2_2!L38,recreation_claude_v2_1!L38),0),"NA")</f>
        <v>1</v>
      </c>
      <c r="L38">
        <f>IF($E38 = 1,ROUND(SUM(recreation_claude_v2_5!L38,recreation_claude_v2_4!L38,recreation_claude_v2_3!L38,recreation_claude_v2_2!L38,recreation_claude_v2_1!L38)/COUNT(recreation_claude_v2_5!L38,recreation_claude_v2_4!L38,recreation_claude_v2_3!L38,recreation_claude_v2_2!L38,recreation_claude_v2_1!L38),0),"NA")</f>
        <v>1</v>
      </c>
      <c r="M38">
        <f>IF($E38 = 1,ROUND(SUM(recreation_claude_v2_5!M38,recreation_claude_v2_4!M38,recreation_claude_v2_3!M38,recreation_claude_v2_2!M38,recreation_claude_v2_1!M38)/COUNT(recreation_claude_v2_5!M38,recreation_claude_v2_4!M38,recreation_claude_v2_3!M38,recreation_claude_v2_2!M38,recreation_claude_v2_1!M38),0),"NA")</f>
        <v>1</v>
      </c>
      <c r="N38">
        <f>IF($E38 = 1,ROUND(SUM(recreation_claude_v2_5!N38,recreation_claude_v2_4!N38,recreation_claude_v2_3!N38,recreation_claude_v2_2!N38,recreation_claude_v2_1!N38)/COUNT(recreation_claude_v2_5!N38,recreation_claude_v2_4!N38,recreation_claude_v2_3!N38,recreation_claude_v2_2!N38,recreation_claude_v2_1!N38),0),"NA")</f>
        <v>1</v>
      </c>
      <c r="O38">
        <f>IF($E38 = 1,ROUND(SUM(recreation_claude_v2_5!O38,recreation_claude_v2_4!O38,recreation_claude_v2_3!O38,recreation_claude_v2_2!O38,recreation_claude_v2_1!O38)/COUNT(recreation_claude_v2_5!O38,recreation_claude_v2_4!O38,recreation_claude_v2_3!O38,recreation_claude_v2_2!O38,recreation_claude_v2_1!O38),0),"NA")</f>
        <v>1</v>
      </c>
    </row>
    <row r="39" spans="1:15" x14ac:dyDescent="0.25">
      <c r="A39" t="s">
        <v>16</v>
      </c>
      <c r="B39" t="s">
        <v>70</v>
      </c>
      <c r="C39">
        <v>0</v>
      </c>
      <c r="D39">
        <v>2.9735078811645508</v>
      </c>
      <c r="E39">
        <f>ROUND(SUM(recreation_claude_v2_5!E39,recreation_claude_v2_4!E39,recreation_claude_v2_3!E39,recreation_claude_v2_2!E39,recreation_claude_v2_1!E39)/COUNT(recreation_claude_v2_5!E39,recreation_claude_v2_4!E39,recreation_claude_v2_3!E39,recreation_claude_v2_2!E39,recreation_claude_v2_1!E39),0)</f>
        <v>1</v>
      </c>
      <c r="F39">
        <f>IF($E39 = 1,ROUND(SUM(recreation_claude_v2_5!F39,recreation_claude_v2_4!F39,recreation_claude_v2_3!F39,recreation_claude_v2_2!F39,recreation_claude_v2_1!F39)/COUNT(recreation_claude_v2_5!F39,recreation_claude_v2_4!F39,recreation_claude_v2_3!F39,recreation_claude_v2_2!F39,recreation_claude_v2_1!F39),0),"NA")</f>
        <v>1</v>
      </c>
      <c r="G39">
        <f>IF($E39 = 1,ROUND(SUM(recreation_claude_v2_5!G39,recreation_claude_v2_4!G39,recreation_claude_v2_3!G39,recreation_claude_v2_2!G39,recreation_claude_v2_1!G39)/COUNT(recreation_claude_v2_5!G39,recreation_claude_v2_4!G39,recreation_claude_v2_3!G39,recreation_claude_v2_2!G39,recreation_claude_v2_1!G39),0),"NA")</f>
        <v>1</v>
      </c>
      <c r="H39">
        <f>IF($E39 = 1,ROUND(SUM(recreation_claude_v2_5!I39,recreation_claude_v2_4!I39,recreation_claude_v2_3!I39,recreation_claude_v2_2!I39,recreation_claude_v2_1!I39)/COUNT(recreation_claude_v2_5!I39,recreation_claude_v2_4!I39,recreation_claude_v2_3!I39,recreation_claude_v2_2!I39,recreation_claude_v2_1!I39),0),"NA")</f>
        <v>1</v>
      </c>
      <c r="I39">
        <f>IF($F39 = 1,ROUND(SUM(recreation_claude_v2_5!J39,recreation_claude_v2_4!J39,recreation_claude_v2_3!J39,recreation_claude_v2_2!J39,recreation_claude_v2_1!J39)/COUNT(recreation_claude_v2_5!J39,recreation_claude_v2_4!J39,recreation_claude_v2_3!J39,recreation_claude_v2_2!J39,recreation_claude_v2_1!J39),0),"NA")</f>
        <v>1</v>
      </c>
      <c r="J39">
        <f>IF($E39 = 1,ROUND(SUM(recreation_claude_v2_5!K39,recreation_claude_v2_4!K39,recreation_claude_v2_3!K39,recreation_claude_v2_2!K39,recreation_claude_v2_1!K39)/COUNT(recreation_claude_v2_5!K39,recreation_claude_v2_4!K39,recreation_claude_v2_3!K39,recreation_claude_v2_2!K39,recreation_claude_v2_1!K39),0),"NA")</f>
        <v>1</v>
      </c>
      <c r="K39">
        <f>IF(AND($F39 = 1, $G39 = 1),ROUND(SUM(recreation_claude_v2_5!L39,recreation_claude_v2_4!L39,recreation_claude_v2_3!L39,recreation_claude_v2_2!L39,recreation_claude_v2_1!L39)/COUNT(recreation_claude_v2_5!L39,recreation_claude_v2_4!L39,recreation_claude_v2_3!L39,recreation_claude_v2_2!L39,recreation_claude_v2_1!L39),0),"NA")</f>
        <v>1</v>
      </c>
      <c r="L39">
        <f>IF($E39 = 1,ROUND(SUM(recreation_claude_v2_5!L39,recreation_claude_v2_4!L39,recreation_claude_v2_3!L39,recreation_claude_v2_2!L39,recreation_claude_v2_1!L39)/COUNT(recreation_claude_v2_5!L39,recreation_claude_v2_4!L39,recreation_claude_v2_3!L39,recreation_claude_v2_2!L39,recreation_claude_v2_1!L39),0),"NA")</f>
        <v>1</v>
      </c>
      <c r="M39">
        <f>IF($E39 = 1,ROUND(SUM(recreation_claude_v2_5!M39,recreation_claude_v2_4!M39,recreation_claude_v2_3!M39,recreation_claude_v2_2!M39,recreation_claude_v2_1!M39)/COUNT(recreation_claude_v2_5!M39,recreation_claude_v2_4!M39,recreation_claude_v2_3!M39,recreation_claude_v2_2!M39,recreation_claude_v2_1!M39),0),"NA")</f>
        <v>1</v>
      </c>
      <c r="N39">
        <f>IF($E39 = 1,ROUND(SUM(recreation_claude_v2_5!N39,recreation_claude_v2_4!N39,recreation_claude_v2_3!N39,recreation_claude_v2_2!N39,recreation_claude_v2_1!N39)/COUNT(recreation_claude_v2_5!N39,recreation_claude_v2_4!N39,recreation_claude_v2_3!N39,recreation_claude_v2_2!N39,recreation_claude_v2_1!N39),0),"NA")</f>
        <v>1</v>
      </c>
      <c r="O39">
        <f>IF($E39 = 1,ROUND(SUM(recreation_claude_v2_5!O39,recreation_claude_v2_4!O39,recreation_claude_v2_3!O39,recreation_claude_v2_2!O39,recreation_claude_v2_1!O39)/COUNT(recreation_claude_v2_5!O39,recreation_claude_v2_4!O39,recreation_claude_v2_3!O39,recreation_claude_v2_2!O39,recreation_claude_v2_1!O39),0),"NA")</f>
        <v>1</v>
      </c>
    </row>
    <row r="40" spans="1:15" x14ac:dyDescent="0.25">
      <c r="A40" t="s">
        <v>16</v>
      </c>
      <c r="B40" t="s">
        <v>71</v>
      </c>
      <c r="C40">
        <v>0</v>
      </c>
      <c r="D40">
        <v>11.256452322006229</v>
      </c>
      <c r="E40">
        <f>ROUND(SUM(recreation_claude_v2_5!E40,recreation_claude_v2_4!E40,recreation_claude_v2_3!E40,recreation_claude_v2_2!E40,recreation_claude_v2_1!E40)/COUNT(recreation_claude_v2_5!E40,recreation_claude_v2_4!E40,recreation_claude_v2_3!E40,recreation_claude_v2_2!E40,recreation_claude_v2_1!E40),0)</f>
        <v>1</v>
      </c>
      <c r="F40">
        <f>IF($E40 = 1,ROUND(SUM(recreation_claude_v2_5!F40,recreation_claude_v2_4!F40,recreation_claude_v2_3!F40,recreation_claude_v2_2!F40,recreation_claude_v2_1!F40)/COUNT(recreation_claude_v2_5!F40,recreation_claude_v2_4!F40,recreation_claude_v2_3!F40,recreation_claude_v2_2!F40,recreation_claude_v2_1!F40),0),"NA")</f>
        <v>1</v>
      </c>
      <c r="G40">
        <f>IF($E40 = 1,ROUND(SUM(recreation_claude_v2_5!G40,recreation_claude_v2_4!G40,recreation_claude_v2_3!G40,recreation_claude_v2_2!G40,recreation_claude_v2_1!G40)/COUNT(recreation_claude_v2_5!G40,recreation_claude_v2_4!G40,recreation_claude_v2_3!G40,recreation_claude_v2_2!G40,recreation_claude_v2_1!G40),0),"NA")</f>
        <v>1</v>
      </c>
      <c r="H40">
        <f>IF($E40 = 1,ROUND(SUM(recreation_claude_v2_5!I40,recreation_claude_v2_4!I40,recreation_claude_v2_3!I40,recreation_claude_v2_2!I40,recreation_claude_v2_1!I40)/COUNT(recreation_claude_v2_5!I40,recreation_claude_v2_4!I40,recreation_claude_v2_3!I40,recreation_claude_v2_2!I40,recreation_claude_v2_1!I40),0),"NA")</f>
        <v>1</v>
      </c>
      <c r="I40">
        <f>IF($F40 = 1,ROUND(SUM(recreation_claude_v2_5!J40,recreation_claude_v2_4!J40,recreation_claude_v2_3!J40,recreation_claude_v2_2!J40,recreation_claude_v2_1!J40)/COUNT(recreation_claude_v2_5!J40,recreation_claude_v2_4!J40,recreation_claude_v2_3!J40,recreation_claude_v2_2!J40,recreation_claude_v2_1!J40),0),"NA")</f>
        <v>1</v>
      </c>
      <c r="J40">
        <f>IF($E40 = 1,ROUND(SUM(recreation_claude_v2_5!K40,recreation_claude_v2_4!K40,recreation_claude_v2_3!K40,recreation_claude_v2_2!K40,recreation_claude_v2_1!K40)/COUNT(recreation_claude_v2_5!K40,recreation_claude_v2_4!K40,recreation_claude_v2_3!K40,recreation_claude_v2_2!K40,recreation_claude_v2_1!K40),0),"NA")</f>
        <v>0</v>
      </c>
      <c r="K40">
        <f>IF(AND($F40 = 1, $G40 = 1),ROUND(SUM(recreation_claude_v2_5!L40,recreation_claude_v2_4!L40,recreation_claude_v2_3!L40,recreation_claude_v2_2!L40,recreation_claude_v2_1!L40)/COUNT(recreation_claude_v2_5!L40,recreation_claude_v2_4!L40,recreation_claude_v2_3!L40,recreation_claude_v2_2!L40,recreation_claude_v2_1!L40),0),"NA")</f>
        <v>1</v>
      </c>
      <c r="L40">
        <f>IF($E40 = 1,ROUND(SUM(recreation_claude_v2_5!L40,recreation_claude_v2_4!L40,recreation_claude_v2_3!L40,recreation_claude_v2_2!L40,recreation_claude_v2_1!L40)/COUNT(recreation_claude_v2_5!L40,recreation_claude_v2_4!L40,recreation_claude_v2_3!L40,recreation_claude_v2_2!L40,recreation_claude_v2_1!L40),0),"NA")</f>
        <v>1</v>
      </c>
      <c r="M40">
        <f>IF($E40 = 1,ROUND(SUM(recreation_claude_v2_5!M40,recreation_claude_v2_4!M40,recreation_claude_v2_3!M40,recreation_claude_v2_2!M40,recreation_claude_v2_1!M40)/COUNT(recreation_claude_v2_5!M40,recreation_claude_v2_4!M40,recreation_claude_v2_3!M40,recreation_claude_v2_2!M40,recreation_claude_v2_1!M40),0),"NA")</f>
        <v>1</v>
      </c>
      <c r="N40">
        <f>IF($E40 = 1,ROUND(SUM(recreation_claude_v2_5!N40,recreation_claude_v2_4!N40,recreation_claude_v2_3!N40,recreation_claude_v2_2!N40,recreation_claude_v2_1!N40)/COUNT(recreation_claude_v2_5!N40,recreation_claude_v2_4!N40,recreation_claude_v2_3!N40,recreation_claude_v2_2!N40,recreation_claude_v2_1!N40),0),"NA")</f>
        <v>1</v>
      </c>
      <c r="O40">
        <f>IF($E40 = 1,ROUND(SUM(recreation_claude_v2_5!O40,recreation_claude_v2_4!O40,recreation_claude_v2_3!O40,recreation_claude_v2_2!O40,recreation_claude_v2_1!O40)/COUNT(recreation_claude_v2_5!O40,recreation_claude_v2_4!O40,recreation_claude_v2_3!O40,recreation_claude_v2_2!O40,recreation_claude_v2_1!O40),0),"NA")</f>
        <v>1</v>
      </c>
    </row>
    <row r="41" spans="1:15" x14ac:dyDescent="0.25">
      <c r="A41" t="s">
        <v>16</v>
      </c>
      <c r="B41" t="s">
        <v>73</v>
      </c>
      <c r="C41">
        <v>0</v>
      </c>
      <c r="D41">
        <v>10.744536638259889</v>
      </c>
      <c r="E41">
        <f>ROUND(SUM(recreation_claude_v2_5!E41,recreation_claude_v2_4!E41,recreation_claude_v2_3!E41,recreation_claude_v2_2!E41,recreation_claude_v2_1!E41)/COUNT(recreation_claude_v2_5!E41,recreation_claude_v2_4!E41,recreation_claude_v2_3!E41,recreation_claude_v2_2!E41,recreation_claude_v2_1!E41),0)</f>
        <v>0</v>
      </c>
      <c r="F41" t="str">
        <f>IF($E41 = 1,ROUND(SUM(recreation_claude_v2_5!F41,recreation_claude_v2_4!F41,recreation_claude_v2_3!F41,recreation_claude_v2_2!F41,recreation_claude_v2_1!F41)/COUNT(recreation_claude_v2_5!F41,recreation_claude_v2_4!F41,recreation_claude_v2_3!F41,recreation_claude_v2_2!F41,recreation_claude_v2_1!F41),0),"NA")</f>
        <v>NA</v>
      </c>
      <c r="G41" t="str">
        <f>IF($E41 = 1,ROUND(SUM(recreation_claude_v2_5!G41,recreation_claude_v2_4!G41,recreation_claude_v2_3!G41,recreation_claude_v2_2!G41,recreation_claude_v2_1!G41)/COUNT(recreation_claude_v2_5!G41,recreation_claude_v2_4!G41,recreation_claude_v2_3!G41,recreation_claude_v2_2!G41,recreation_claude_v2_1!G41),0),"NA")</f>
        <v>NA</v>
      </c>
      <c r="H41" t="str">
        <f>IF($E41 = 1,ROUND(SUM(recreation_claude_v2_5!I41,recreation_claude_v2_4!I41,recreation_claude_v2_3!I41,recreation_claude_v2_2!I41,recreation_claude_v2_1!I41)/COUNT(recreation_claude_v2_5!I41,recreation_claude_v2_4!I41,recreation_claude_v2_3!I41,recreation_claude_v2_2!I41,recreation_claude_v2_1!I41),0),"NA")</f>
        <v>NA</v>
      </c>
      <c r="I41" t="str">
        <f>IF($F41 = 1,ROUND(SUM(recreation_claude_v2_5!J41,recreation_claude_v2_4!J41,recreation_claude_v2_3!J41,recreation_claude_v2_2!J41,recreation_claude_v2_1!J41)/COUNT(recreation_claude_v2_5!J41,recreation_claude_v2_4!J41,recreation_claude_v2_3!J41,recreation_claude_v2_2!J41,recreation_claude_v2_1!J41),0),"NA")</f>
        <v>NA</v>
      </c>
      <c r="J41" t="str">
        <f>IF($E41 = 1,ROUND(SUM(recreation_claude_v2_5!K41,recreation_claude_v2_4!K41,recreation_claude_v2_3!K41,recreation_claude_v2_2!K41,recreation_claude_v2_1!K41)/COUNT(recreation_claude_v2_5!K41,recreation_claude_v2_4!K41,recreation_claude_v2_3!K41,recreation_claude_v2_2!K41,recreation_claude_v2_1!K41),0),"NA")</f>
        <v>NA</v>
      </c>
      <c r="K41" t="str">
        <f>IF(AND($F41 = 1, $G41 = 1),ROUND(SUM(recreation_claude_v2_5!L41,recreation_claude_v2_4!L41,recreation_claude_v2_3!L41,recreation_claude_v2_2!L41,recreation_claude_v2_1!L41)/COUNT(recreation_claude_v2_5!L41,recreation_claude_v2_4!L41,recreation_claude_v2_3!L41,recreation_claude_v2_2!L41,recreation_claude_v2_1!L41),0),"NA")</f>
        <v>NA</v>
      </c>
      <c r="L41" t="str">
        <f>IF($E41 = 1,ROUND(SUM(recreation_claude_v2_5!L41,recreation_claude_v2_4!L41,recreation_claude_v2_3!L41,recreation_claude_v2_2!L41,recreation_claude_v2_1!L41)/COUNT(recreation_claude_v2_5!L41,recreation_claude_v2_4!L41,recreation_claude_v2_3!L41,recreation_claude_v2_2!L41,recreation_claude_v2_1!L41),0),"NA")</f>
        <v>NA</v>
      </c>
      <c r="M41" t="str">
        <f>IF($E41 = 1,ROUND(SUM(recreation_claude_v2_5!M41,recreation_claude_v2_4!M41,recreation_claude_v2_3!M41,recreation_claude_v2_2!M41,recreation_claude_v2_1!M41)/COUNT(recreation_claude_v2_5!M41,recreation_claude_v2_4!M41,recreation_claude_v2_3!M41,recreation_claude_v2_2!M41,recreation_claude_v2_1!M41),0),"NA")</f>
        <v>NA</v>
      </c>
      <c r="N41" t="str">
        <f>IF($E41 = 1,ROUND(SUM(recreation_claude_v2_5!N41,recreation_claude_v2_4!N41,recreation_claude_v2_3!N41,recreation_claude_v2_2!N41,recreation_claude_v2_1!N41)/COUNT(recreation_claude_v2_5!N41,recreation_claude_v2_4!N41,recreation_claude_v2_3!N41,recreation_claude_v2_2!N41,recreation_claude_v2_1!N41),0),"NA")</f>
        <v>NA</v>
      </c>
      <c r="O41" t="str">
        <f>IF($E41 = 1,ROUND(SUM(recreation_claude_v2_5!O41,recreation_claude_v2_4!O41,recreation_claude_v2_3!O41,recreation_claude_v2_2!O41,recreation_claude_v2_1!O41)/COUNT(recreation_claude_v2_5!O41,recreation_claude_v2_4!O41,recreation_claude_v2_3!O41,recreation_claude_v2_2!O41,recreation_claude_v2_1!O41),0),"NA")</f>
        <v>NA</v>
      </c>
    </row>
    <row r="42" spans="1:15" x14ac:dyDescent="0.25">
      <c r="A42" t="s">
        <v>16</v>
      </c>
      <c r="B42" t="s">
        <v>75</v>
      </c>
      <c r="C42">
        <v>0</v>
      </c>
      <c r="D42">
        <v>8.491330623626709</v>
      </c>
      <c r="E42">
        <f>ROUND(SUM(recreation_claude_v2_5!E42,recreation_claude_v2_4!E42,recreation_claude_v2_3!E42,recreation_claude_v2_2!E42,recreation_claude_v2_1!E42)/COUNT(recreation_claude_v2_5!E42,recreation_claude_v2_4!E42,recreation_claude_v2_3!E42,recreation_claude_v2_2!E42,recreation_claude_v2_1!E42),0)</f>
        <v>1</v>
      </c>
      <c r="F42">
        <f>IF($E42 = 1,ROUND(SUM(recreation_claude_v2_5!F42,recreation_claude_v2_4!F42,recreation_claude_v2_3!F42,recreation_claude_v2_2!F42,recreation_claude_v2_1!F42)/COUNT(recreation_claude_v2_5!F42,recreation_claude_v2_4!F42,recreation_claude_v2_3!F42,recreation_claude_v2_2!F42,recreation_claude_v2_1!F42),0),"NA")</f>
        <v>1</v>
      </c>
      <c r="G42">
        <f>IF($E42 = 1,ROUND(SUM(recreation_claude_v2_5!G42,recreation_claude_v2_4!G42,recreation_claude_v2_3!G42,recreation_claude_v2_2!G42,recreation_claude_v2_1!G42)/COUNT(recreation_claude_v2_5!G42,recreation_claude_v2_4!G42,recreation_claude_v2_3!G42,recreation_claude_v2_2!G42,recreation_claude_v2_1!G42),0),"NA")</f>
        <v>1</v>
      </c>
      <c r="H42">
        <f>IF($E42 = 1,ROUND(SUM(recreation_claude_v2_5!I42,recreation_claude_v2_4!I42,recreation_claude_v2_3!I42,recreation_claude_v2_2!I42,recreation_claude_v2_1!I42)/COUNT(recreation_claude_v2_5!I42,recreation_claude_v2_4!I42,recreation_claude_v2_3!I42,recreation_claude_v2_2!I42,recreation_claude_v2_1!I42),0),"NA")</f>
        <v>1</v>
      </c>
      <c r="I42">
        <f>IF($F42 = 1,ROUND(SUM(recreation_claude_v2_5!J42,recreation_claude_v2_4!J42,recreation_claude_v2_3!J42,recreation_claude_v2_2!J42,recreation_claude_v2_1!J42)/COUNT(recreation_claude_v2_5!J42,recreation_claude_v2_4!J42,recreation_claude_v2_3!J42,recreation_claude_v2_2!J42,recreation_claude_v2_1!J42),0),"NA")</f>
        <v>1</v>
      </c>
      <c r="J42">
        <f>IF($E42 = 1,ROUND(SUM(recreation_claude_v2_5!K42,recreation_claude_v2_4!K42,recreation_claude_v2_3!K42,recreation_claude_v2_2!K42,recreation_claude_v2_1!K42)/COUNT(recreation_claude_v2_5!K42,recreation_claude_v2_4!K42,recreation_claude_v2_3!K42,recreation_claude_v2_2!K42,recreation_claude_v2_1!K42),0),"NA")</f>
        <v>1</v>
      </c>
      <c r="K42">
        <f>IF(AND($F42 = 1, $G42 = 1),ROUND(SUM(recreation_claude_v2_5!L42,recreation_claude_v2_4!L42,recreation_claude_v2_3!L42,recreation_claude_v2_2!L42,recreation_claude_v2_1!L42)/COUNT(recreation_claude_v2_5!L42,recreation_claude_v2_4!L42,recreation_claude_v2_3!L42,recreation_claude_v2_2!L42,recreation_claude_v2_1!L42),0),"NA")</f>
        <v>1</v>
      </c>
      <c r="L42">
        <f>IF($E42 = 1,ROUND(SUM(recreation_claude_v2_5!L42,recreation_claude_v2_4!L42,recreation_claude_v2_3!L42,recreation_claude_v2_2!L42,recreation_claude_v2_1!L42)/COUNT(recreation_claude_v2_5!L42,recreation_claude_v2_4!L42,recreation_claude_v2_3!L42,recreation_claude_v2_2!L42,recreation_claude_v2_1!L42),0),"NA")</f>
        <v>1</v>
      </c>
      <c r="M42">
        <f>IF($E42 = 1,ROUND(SUM(recreation_claude_v2_5!M42,recreation_claude_v2_4!M42,recreation_claude_v2_3!M42,recreation_claude_v2_2!M42,recreation_claude_v2_1!M42)/COUNT(recreation_claude_v2_5!M42,recreation_claude_v2_4!M42,recreation_claude_v2_3!M42,recreation_claude_v2_2!M42,recreation_claude_v2_1!M42),0),"NA")</f>
        <v>1</v>
      </c>
      <c r="N42">
        <f>IF($E42 = 1,ROUND(SUM(recreation_claude_v2_5!N42,recreation_claude_v2_4!N42,recreation_claude_v2_3!N42,recreation_claude_v2_2!N42,recreation_claude_v2_1!N42)/COUNT(recreation_claude_v2_5!N42,recreation_claude_v2_4!N42,recreation_claude_v2_3!N42,recreation_claude_v2_2!N42,recreation_claude_v2_1!N42),0),"NA")</f>
        <v>1</v>
      </c>
      <c r="O42">
        <f>IF($E42 = 1,ROUND(SUM(recreation_claude_v2_5!O42,recreation_claude_v2_4!O42,recreation_claude_v2_3!O42,recreation_claude_v2_2!O42,recreation_claude_v2_1!O42)/COUNT(recreation_claude_v2_5!O42,recreation_claude_v2_4!O42,recreation_claude_v2_3!O42,recreation_claude_v2_2!O42,recreation_claude_v2_1!O42),0),"NA")</f>
        <v>1</v>
      </c>
    </row>
    <row r="43" spans="1:15" x14ac:dyDescent="0.25">
      <c r="A43" t="s">
        <v>16</v>
      </c>
      <c r="B43" t="s">
        <v>77</v>
      </c>
      <c r="C43">
        <v>0</v>
      </c>
      <c r="D43">
        <v>9.7348709106445313</v>
      </c>
      <c r="E43">
        <f>ROUND(SUM(recreation_claude_v2_5!E43,recreation_claude_v2_4!E43,recreation_claude_v2_3!E43,recreation_claude_v2_2!E43,recreation_claude_v2_1!E43)/COUNT(recreation_claude_v2_5!E43,recreation_claude_v2_4!E43,recreation_claude_v2_3!E43,recreation_claude_v2_2!E43,recreation_claude_v2_1!E43),0)</f>
        <v>1</v>
      </c>
      <c r="F43">
        <f>IF($E43 = 1,ROUND(SUM(recreation_claude_v2_5!F43,recreation_claude_v2_4!F43,recreation_claude_v2_3!F43,recreation_claude_v2_2!F43,recreation_claude_v2_1!F43)/COUNT(recreation_claude_v2_5!F43,recreation_claude_v2_4!F43,recreation_claude_v2_3!F43,recreation_claude_v2_2!F43,recreation_claude_v2_1!F43),0),"NA")</f>
        <v>1</v>
      </c>
      <c r="G43">
        <f>IF($E43 = 1,ROUND(SUM(recreation_claude_v2_5!G43,recreation_claude_v2_4!G43,recreation_claude_v2_3!G43,recreation_claude_v2_2!G43,recreation_claude_v2_1!G43)/COUNT(recreation_claude_v2_5!G43,recreation_claude_v2_4!G43,recreation_claude_v2_3!G43,recreation_claude_v2_2!G43,recreation_claude_v2_1!G43),0),"NA")</f>
        <v>0</v>
      </c>
      <c r="H43">
        <f>IF($E43 = 1,ROUND(SUM(recreation_claude_v2_5!I43,recreation_claude_v2_4!I43,recreation_claude_v2_3!I43,recreation_claude_v2_2!I43,recreation_claude_v2_1!I43)/COUNT(recreation_claude_v2_5!I43,recreation_claude_v2_4!I43,recreation_claude_v2_3!I43,recreation_claude_v2_2!I43,recreation_claude_v2_1!I43),0),"NA")</f>
        <v>1</v>
      </c>
      <c r="I43">
        <f>IF($F43 = 1,ROUND(SUM(recreation_claude_v2_5!J43,recreation_claude_v2_4!J43,recreation_claude_v2_3!J43,recreation_claude_v2_2!J43,recreation_claude_v2_1!J43)/COUNT(recreation_claude_v2_5!J43,recreation_claude_v2_4!J43,recreation_claude_v2_3!J43,recreation_claude_v2_2!J43,recreation_claude_v2_1!J43),0),"NA")</f>
        <v>1</v>
      </c>
      <c r="J43">
        <f>IF($E43 = 1,ROUND(SUM(recreation_claude_v2_5!K43,recreation_claude_v2_4!K43,recreation_claude_v2_3!K43,recreation_claude_v2_2!K43,recreation_claude_v2_1!K43)/COUNT(recreation_claude_v2_5!K43,recreation_claude_v2_4!K43,recreation_claude_v2_3!K43,recreation_claude_v2_2!K43,recreation_claude_v2_1!K43),0),"NA")</f>
        <v>1</v>
      </c>
      <c r="K43" t="str">
        <f>IF(AND($F43 = 1, $G43 = 1),ROUND(SUM(recreation_claude_v2_5!L43,recreation_claude_v2_4!L43,recreation_claude_v2_3!L43,recreation_claude_v2_2!L43,recreation_claude_v2_1!L43)/COUNT(recreation_claude_v2_5!L43,recreation_claude_v2_4!L43,recreation_claude_v2_3!L43,recreation_claude_v2_2!L43,recreation_claude_v2_1!L43),0),"NA")</f>
        <v>NA</v>
      </c>
      <c r="L43">
        <f>IF($E43 = 1,ROUND(SUM(recreation_claude_v2_5!L43,recreation_claude_v2_4!L43,recreation_claude_v2_3!L43,recreation_claude_v2_2!L43,recreation_claude_v2_1!L43)/COUNT(recreation_claude_v2_5!L43,recreation_claude_v2_4!L43,recreation_claude_v2_3!L43,recreation_claude_v2_2!L43,recreation_claude_v2_1!L43),0),"NA")</f>
        <v>1</v>
      </c>
      <c r="M43">
        <f>IF($E43 = 1,ROUND(SUM(recreation_claude_v2_5!M43,recreation_claude_v2_4!M43,recreation_claude_v2_3!M43,recreation_claude_v2_2!M43,recreation_claude_v2_1!M43)/COUNT(recreation_claude_v2_5!M43,recreation_claude_v2_4!M43,recreation_claude_v2_3!M43,recreation_claude_v2_2!M43,recreation_claude_v2_1!M43),0),"NA")</f>
        <v>0</v>
      </c>
      <c r="N43">
        <f>IF($E43 = 1,ROUND(SUM(recreation_claude_v2_5!N43,recreation_claude_v2_4!N43,recreation_claude_v2_3!N43,recreation_claude_v2_2!N43,recreation_claude_v2_1!N43)/COUNT(recreation_claude_v2_5!N43,recreation_claude_v2_4!N43,recreation_claude_v2_3!N43,recreation_claude_v2_2!N43,recreation_claude_v2_1!N43),0),"NA")</f>
        <v>1</v>
      </c>
      <c r="O43">
        <f>IF($E43 = 1,ROUND(SUM(recreation_claude_v2_5!O43,recreation_claude_v2_4!O43,recreation_claude_v2_3!O43,recreation_claude_v2_2!O43,recreation_claude_v2_1!O43)/COUNT(recreation_claude_v2_5!O43,recreation_claude_v2_4!O43,recreation_claude_v2_3!O43,recreation_claude_v2_2!O43,recreation_claude_v2_1!O43),0),"NA")</f>
        <v>1</v>
      </c>
    </row>
    <row r="44" spans="1:15" x14ac:dyDescent="0.25">
      <c r="A44" t="s">
        <v>16</v>
      </c>
      <c r="B44" t="s">
        <v>79</v>
      </c>
      <c r="C44">
        <v>0</v>
      </c>
      <c r="D44">
        <v>11.264399290084841</v>
      </c>
      <c r="E44">
        <f>ROUND(SUM(recreation_claude_v2_5!E44,recreation_claude_v2_4!E44,recreation_claude_v2_3!E44,recreation_claude_v2_2!E44,recreation_claude_v2_1!E44)/COUNT(recreation_claude_v2_5!E44,recreation_claude_v2_4!E44,recreation_claude_v2_3!E44,recreation_claude_v2_2!E44,recreation_claude_v2_1!E44),0)</f>
        <v>1</v>
      </c>
      <c r="F44">
        <f>IF($E44 = 1,ROUND(SUM(recreation_claude_v2_5!F44,recreation_claude_v2_4!F44,recreation_claude_v2_3!F44,recreation_claude_v2_2!F44,recreation_claude_v2_1!F44)/COUNT(recreation_claude_v2_5!F44,recreation_claude_v2_4!F44,recreation_claude_v2_3!F44,recreation_claude_v2_2!F44,recreation_claude_v2_1!F44),0),"NA")</f>
        <v>1</v>
      </c>
      <c r="G44">
        <f>IF($E44 = 1,ROUND(SUM(recreation_claude_v2_5!G44,recreation_claude_v2_4!G44,recreation_claude_v2_3!G44,recreation_claude_v2_2!G44,recreation_claude_v2_1!G44)/COUNT(recreation_claude_v2_5!G44,recreation_claude_v2_4!G44,recreation_claude_v2_3!G44,recreation_claude_v2_2!G44,recreation_claude_v2_1!G44),0),"NA")</f>
        <v>0</v>
      </c>
      <c r="H44">
        <f>IF($E44 = 1,ROUND(SUM(recreation_claude_v2_5!I44,recreation_claude_v2_4!I44,recreation_claude_v2_3!I44,recreation_claude_v2_2!I44,recreation_claude_v2_1!I44)/COUNT(recreation_claude_v2_5!I44,recreation_claude_v2_4!I44,recreation_claude_v2_3!I44,recreation_claude_v2_2!I44,recreation_claude_v2_1!I44),0),"NA")</f>
        <v>1</v>
      </c>
      <c r="I44">
        <f>IF($F44 = 1,ROUND(SUM(recreation_claude_v2_5!J44,recreation_claude_v2_4!J44,recreation_claude_v2_3!J44,recreation_claude_v2_2!J44,recreation_claude_v2_1!J44)/COUNT(recreation_claude_v2_5!J44,recreation_claude_v2_4!J44,recreation_claude_v2_3!J44,recreation_claude_v2_2!J44,recreation_claude_v2_1!J44),0),"NA")</f>
        <v>1</v>
      </c>
      <c r="J44">
        <f>IF($E44 = 1,ROUND(SUM(recreation_claude_v2_5!K44,recreation_claude_v2_4!K44,recreation_claude_v2_3!K44,recreation_claude_v2_2!K44,recreation_claude_v2_1!K44)/COUNT(recreation_claude_v2_5!K44,recreation_claude_v2_4!K44,recreation_claude_v2_3!K44,recreation_claude_v2_2!K44,recreation_claude_v2_1!K44),0),"NA")</f>
        <v>1</v>
      </c>
      <c r="K44" t="str">
        <f>IF(AND($F44 = 1, $G44 = 1),ROUND(SUM(recreation_claude_v2_5!L44,recreation_claude_v2_4!L44,recreation_claude_v2_3!L44,recreation_claude_v2_2!L44,recreation_claude_v2_1!L44)/COUNT(recreation_claude_v2_5!L44,recreation_claude_v2_4!L44,recreation_claude_v2_3!L44,recreation_claude_v2_2!L44,recreation_claude_v2_1!L44),0),"NA")</f>
        <v>NA</v>
      </c>
      <c r="L44">
        <f>IF($E44 = 1,ROUND(SUM(recreation_claude_v2_5!L44,recreation_claude_v2_4!L44,recreation_claude_v2_3!L44,recreation_claude_v2_2!L44,recreation_claude_v2_1!L44)/COUNT(recreation_claude_v2_5!L44,recreation_claude_v2_4!L44,recreation_claude_v2_3!L44,recreation_claude_v2_2!L44,recreation_claude_v2_1!L44),0),"NA")</f>
        <v>1</v>
      </c>
      <c r="M44">
        <f>IF($E44 = 1,ROUND(SUM(recreation_claude_v2_5!M44,recreation_claude_v2_4!M44,recreation_claude_v2_3!M44,recreation_claude_v2_2!M44,recreation_claude_v2_1!M44)/COUNT(recreation_claude_v2_5!M44,recreation_claude_v2_4!M44,recreation_claude_v2_3!M44,recreation_claude_v2_2!M44,recreation_claude_v2_1!M44),0),"NA")</f>
        <v>1</v>
      </c>
      <c r="N44">
        <f>IF($E44 = 1,ROUND(SUM(recreation_claude_v2_5!N44,recreation_claude_v2_4!N44,recreation_claude_v2_3!N44,recreation_claude_v2_2!N44,recreation_claude_v2_1!N44)/COUNT(recreation_claude_v2_5!N44,recreation_claude_v2_4!N44,recreation_claude_v2_3!N44,recreation_claude_v2_2!N44,recreation_claude_v2_1!N44),0),"NA")</f>
        <v>1</v>
      </c>
      <c r="O44">
        <f>IF($E44 = 1,ROUND(SUM(recreation_claude_v2_5!O44,recreation_claude_v2_4!O44,recreation_claude_v2_3!O44,recreation_claude_v2_2!O44,recreation_claude_v2_1!O44)/COUNT(recreation_claude_v2_5!O44,recreation_claude_v2_4!O44,recreation_claude_v2_3!O44,recreation_claude_v2_2!O44,recreation_claude_v2_1!O44),0),"NA")</f>
        <v>1</v>
      </c>
    </row>
    <row r="45" spans="1:15" x14ac:dyDescent="0.25">
      <c r="A45" t="s">
        <v>16</v>
      </c>
      <c r="B45" t="s">
        <v>81</v>
      </c>
      <c r="C45">
        <v>0</v>
      </c>
      <c r="D45">
        <v>11.964054822921749</v>
      </c>
      <c r="E45">
        <f>ROUND(SUM(recreation_claude_v2_5!E45,recreation_claude_v2_4!E45,recreation_claude_v2_3!E45,recreation_claude_v2_2!E45,recreation_claude_v2_1!E45)/COUNT(recreation_claude_v2_5!E45,recreation_claude_v2_4!E45,recreation_claude_v2_3!E45,recreation_claude_v2_2!E45,recreation_claude_v2_1!E45),0)</f>
        <v>1</v>
      </c>
      <c r="F45">
        <f>IF($E45 = 1,ROUND(SUM(recreation_claude_v2_5!F45,recreation_claude_v2_4!F45,recreation_claude_v2_3!F45,recreation_claude_v2_2!F45,recreation_claude_v2_1!F45)/COUNT(recreation_claude_v2_5!F45,recreation_claude_v2_4!F45,recreation_claude_v2_3!F45,recreation_claude_v2_2!F45,recreation_claude_v2_1!F45),0),"NA")</f>
        <v>1</v>
      </c>
      <c r="G45">
        <f>IF($E45 = 1,ROUND(SUM(recreation_claude_v2_5!G45,recreation_claude_v2_4!G45,recreation_claude_v2_3!G45,recreation_claude_v2_2!G45,recreation_claude_v2_1!G45)/COUNT(recreation_claude_v2_5!G45,recreation_claude_v2_4!G45,recreation_claude_v2_3!G45,recreation_claude_v2_2!G45,recreation_claude_v2_1!G45),0),"NA")</f>
        <v>1</v>
      </c>
      <c r="H45">
        <f>IF($E45 = 1,ROUND(SUM(recreation_claude_v2_5!I45,recreation_claude_v2_4!I45,recreation_claude_v2_3!I45,recreation_claude_v2_2!I45,recreation_claude_v2_1!I45)/COUNT(recreation_claude_v2_5!I45,recreation_claude_v2_4!I45,recreation_claude_v2_3!I45,recreation_claude_v2_2!I45,recreation_claude_v2_1!I45),0),"NA")</f>
        <v>1</v>
      </c>
      <c r="I45">
        <f>IF($F45 = 1,ROUND(SUM(recreation_claude_v2_5!J45,recreation_claude_v2_4!J45,recreation_claude_v2_3!J45,recreation_claude_v2_2!J45,recreation_claude_v2_1!J45)/COUNT(recreation_claude_v2_5!J45,recreation_claude_v2_4!J45,recreation_claude_v2_3!J45,recreation_claude_v2_2!J45,recreation_claude_v2_1!J45),0),"NA")</f>
        <v>0</v>
      </c>
      <c r="J45">
        <f>IF($E45 = 1,ROUND(SUM(recreation_claude_v2_5!K45,recreation_claude_v2_4!K45,recreation_claude_v2_3!K45,recreation_claude_v2_2!K45,recreation_claude_v2_1!K45)/COUNT(recreation_claude_v2_5!K45,recreation_claude_v2_4!K45,recreation_claude_v2_3!K45,recreation_claude_v2_2!K45,recreation_claude_v2_1!K45),0),"NA")</f>
        <v>1</v>
      </c>
      <c r="K45">
        <f>IF(AND($F45 = 1, $G45 = 1),ROUND(SUM(recreation_claude_v2_5!L45,recreation_claude_v2_4!L45,recreation_claude_v2_3!L45,recreation_claude_v2_2!L45,recreation_claude_v2_1!L45)/COUNT(recreation_claude_v2_5!L45,recreation_claude_v2_4!L45,recreation_claude_v2_3!L45,recreation_claude_v2_2!L45,recreation_claude_v2_1!L45),0),"NA")</f>
        <v>1</v>
      </c>
      <c r="L45">
        <f>IF($E45 = 1,ROUND(SUM(recreation_claude_v2_5!L45,recreation_claude_v2_4!L45,recreation_claude_v2_3!L45,recreation_claude_v2_2!L45,recreation_claude_v2_1!L45)/COUNT(recreation_claude_v2_5!L45,recreation_claude_v2_4!L45,recreation_claude_v2_3!L45,recreation_claude_v2_2!L45,recreation_claude_v2_1!L45),0),"NA")</f>
        <v>1</v>
      </c>
      <c r="M45">
        <f>IF($E45 = 1,ROUND(SUM(recreation_claude_v2_5!M45,recreation_claude_v2_4!M45,recreation_claude_v2_3!M45,recreation_claude_v2_2!M45,recreation_claude_v2_1!M45)/COUNT(recreation_claude_v2_5!M45,recreation_claude_v2_4!M45,recreation_claude_v2_3!M45,recreation_claude_v2_2!M45,recreation_claude_v2_1!M45),0),"NA")</f>
        <v>1</v>
      </c>
      <c r="N45">
        <f>IF($E45 = 1,ROUND(SUM(recreation_claude_v2_5!N45,recreation_claude_v2_4!N45,recreation_claude_v2_3!N45,recreation_claude_v2_2!N45,recreation_claude_v2_1!N45)/COUNT(recreation_claude_v2_5!N45,recreation_claude_v2_4!N45,recreation_claude_v2_3!N45,recreation_claude_v2_2!N45,recreation_claude_v2_1!N45),0),"NA")</f>
        <v>1</v>
      </c>
      <c r="O45">
        <f>IF($E45 = 1,ROUND(SUM(recreation_claude_v2_5!O45,recreation_claude_v2_4!O45,recreation_claude_v2_3!O45,recreation_claude_v2_2!O45,recreation_claude_v2_1!O45)/COUNT(recreation_claude_v2_5!O45,recreation_claude_v2_4!O45,recreation_claude_v2_3!O45,recreation_claude_v2_2!O45,recreation_claude_v2_1!O45),0),"NA")</f>
        <v>1</v>
      </c>
    </row>
    <row r="46" spans="1:15" x14ac:dyDescent="0.25">
      <c r="A46" t="s">
        <v>16</v>
      </c>
      <c r="B46" t="s">
        <v>83</v>
      </c>
      <c r="C46">
        <v>0</v>
      </c>
      <c r="D46">
        <v>6.5599129199981689</v>
      </c>
      <c r="E46">
        <f>ROUND(SUM(recreation_claude_v2_5!E46,recreation_claude_v2_4!E46,recreation_claude_v2_3!E46,recreation_claude_v2_2!E46,recreation_claude_v2_1!E46)/COUNT(recreation_claude_v2_5!E46,recreation_claude_v2_4!E46,recreation_claude_v2_3!E46,recreation_claude_v2_2!E46,recreation_claude_v2_1!E46),0)</f>
        <v>1</v>
      </c>
      <c r="F46">
        <f>IF($E46 = 1,ROUND(SUM(recreation_claude_v2_5!F46,recreation_claude_v2_4!F46,recreation_claude_v2_3!F46,recreation_claude_v2_2!F46,recreation_claude_v2_1!F46)/COUNT(recreation_claude_v2_5!F46,recreation_claude_v2_4!F46,recreation_claude_v2_3!F46,recreation_claude_v2_2!F46,recreation_claude_v2_1!F46),0),"NA")</f>
        <v>1</v>
      </c>
      <c r="G46">
        <f>IF($E46 = 1,ROUND(SUM(recreation_claude_v2_5!G46,recreation_claude_v2_4!G46,recreation_claude_v2_3!G46,recreation_claude_v2_2!G46,recreation_claude_v2_1!G46)/COUNT(recreation_claude_v2_5!G46,recreation_claude_v2_4!G46,recreation_claude_v2_3!G46,recreation_claude_v2_2!G46,recreation_claude_v2_1!G46),0),"NA")</f>
        <v>1</v>
      </c>
      <c r="H46">
        <f>IF($E46 = 1,ROUND(SUM(recreation_claude_v2_5!I46,recreation_claude_v2_4!I46,recreation_claude_v2_3!I46,recreation_claude_v2_2!I46,recreation_claude_v2_1!I46)/COUNT(recreation_claude_v2_5!I46,recreation_claude_v2_4!I46,recreation_claude_v2_3!I46,recreation_claude_v2_2!I46,recreation_claude_v2_1!I46),0),"NA")</f>
        <v>1</v>
      </c>
      <c r="I46">
        <f>IF($F46 = 1,ROUND(SUM(recreation_claude_v2_5!J46,recreation_claude_v2_4!J46,recreation_claude_v2_3!J46,recreation_claude_v2_2!J46,recreation_claude_v2_1!J46)/COUNT(recreation_claude_v2_5!J46,recreation_claude_v2_4!J46,recreation_claude_v2_3!J46,recreation_claude_v2_2!J46,recreation_claude_v2_1!J46),0),"NA")</f>
        <v>0</v>
      </c>
      <c r="J46">
        <f>IF($E46 = 1,ROUND(SUM(recreation_claude_v2_5!K46,recreation_claude_v2_4!K46,recreation_claude_v2_3!K46,recreation_claude_v2_2!K46,recreation_claude_v2_1!K46)/COUNT(recreation_claude_v2_5!K46,recreation_claude_v2_4!K46,recreation_claude_v2_3!K46,recreation_claude_v2_2!K46,recreation_claude_v2_1!K46),0),"NA")</f>
        <v>1</v>
      </c>
      <c r="K46">
        <f>IF(AND($F46 = 1, $G46 = 1),ROUND(SUM(recreation_claude_v2_5!L46,recreation_claude_v2_4!L46,recreation_claude_v2_3!L46,recreation_claude_v2_2!L46,recreation_claude_v2_1!L46)/COUNT(recreation_claude_v2_5!L46,recreation_claude_v2_4!L46,recreation_claude_v2_3!L46,recreation_claude_v2_2!L46,recreation_claude_v2_1!L46),0),"NA")</f>
        <v>1</v>
      </c>
      <c r="L46">
        <f>IF($E46 = 1,ROUND(SUM(recreation_claude_v2_5!L46,recreation_claude_v2_4!L46,recreation_claude_v2_3!L46,recreation_claude_v2_2!L46,recreation_claude_v2_1!L46)/COUNT(recreation_claude_v2_5!L46,recreation_claude_v2_4!L46,recreation_claude_v2_3!L46,recreation_claude_v2_2!L46,recreation_claude_v2_1!L46),0),"NA")</f>
        <v>1</v>
      </c>
      <c r="M46">
        <f>IF($E46 = 1,ROUND(SUM(recreation_claude_v2_5!M46,recreation_claude_v2_4!M46,recreation_claude_v2_3!M46,recreation_claude_v2_2!M46,recreation_claude_v2_1!M46)/COUNT(recreation_claude_v2_5!M46,recreation_claude_v2_4!M46,recreation_claude_v2_3!M46,recreation_claude_v2_2!M46,recreation_claude_v2_1!M46),0),"NA")</f>
        <v>1</v>
      </c>
      <c r="N46">
        <f>IF($E46 = 1,ROUND(SUM(recreation_claude_v2_5!N46,recreation_claude_v2_4!N46,recreation_claude_v2_3!N46,recreation_claude_v2_2!N46,recreation_claude_v2_1!N46)/COUNT(recreation_claude_v2_5!N46,recreation_claude_v2_4!N46,recreation_claude_v2_3!N46,recreation_claude_v2_2!N46,recreation_claude_v2_1!N46),0),"NA")</f>
        <v>1</v>
      </c>
      <c r="O46">
        <f>IF($E46 = 1,ROUND(SUM(recreation_claude_v2_5!O46,recreation_claude_v2_4!O46,recreation_claude_v2_3!O46,recreation_claude_v2_2!O46,recreation_claude_v2_1!O46)/COUNT(recreation_claude_v2_5!O46,recreation_claude_v2_4!O46,recreation_claude_v2_3!O46,recreation_claude_v2_2!O46,recreation_claude_v2_1!O46),0),"NA")</f>
        <v>1</v>
      </c>
    </row>
    <row r="47" spans="1:15" x14ac:dyDescent="0.25">
      <c r="A47" t="s">
        <v>16</v>
      </c>
      <c r="B47" t="s">
        <v>85</v>
      </c>
      <c r="C47">
        <v>0</v>
      </c>
      <c r="D47">
        <v>11.75453090667725</v>
      </c>
      <c r="E47">
        <f>ROUND(SUM(recreation_claude_v2_5!E47,recreation_claude_v2_4!E47,recreation_claude_v2_3!E47,recreation_claude_v2_2!E47,recreation_claude_v2_1!E47)/COUNT(recreation_claude_v2_5!E47,recreation_claude_v2_4!E47,recreation_claude_v2_3!E47,recreation_claude_v2_2!E47,recreation_claude_v2_1!E47),0)</f>
        <v>1</v>
      </c>
      <c r="F47">
        <f>IF($E47 = 1,ROUND(SUM(recreation_claude_v2_5!F47,recreation_claude_v2_4!F47,recreation_claude_v2_3!F47,recreation_claude_v2_2!F47,recreation_claude_v2_1!F47)/COUNT(recreation_claude_v2_5!F47,recreation_claude_v2_4!F47,recreation_claude_v2_3!F47,recreation_claude_v2_2!F47,recreation_claude_v2_1!F47),0),"NA")</f>
        <v>1</v>
      </c>
      <c r="G47">
        <f>IF($E47 = 1,ROUND(SUM(recreation_claude_v2_5!G47,recreation_claude_v2_4!G47,recreation_claude_v2_3!G47,recreation_claude_v2_2!G47,recreation_claude_v2_1!G47)/COUNT(recreation_claude_v2_5!G47,recreation_claude_v2_4!G47,recreation_claude_v2_3!G47,recreation_claude_v2_2!G47,recreation_claude_v2_1!G47),0),"NA")</f>
        <v>1</v>
      </c>
      <c r="H47">
        <f>IF($E47 = 1,ROUND(SUM(recreation_claude_v2_5!I47,recreation_claude_v2_4!I47,recreation_claude_v2_3!I47,recreation_claude_v2_2!I47,recreation_claude_v2_1!I47)/COUNT(recreation_claude_v2_5!I47,recreation_claude_v2_4!I47,recreation_claude_v2_3!I47,recreation_claude_v2_2!I47,recreation_claude_v2_1!I47),0),"NA")</f>
        <v>1</v>
      </c>
      <c r="I47">
        <f>IF($F47 = 1,ROUND(SUM(recreation_claude_v2_5!J47,recreation_claude_v2_4!J47,recreation_claude_v2_3!J47,recreation_claude_v2_2!J47,recreation_claude_v2_1!J47)/COUNT(recreation_claude_v2_5!J47,recreation_claude_v2_4!J47,recreation_claude_v2_3!J47,recreation_claude_v2_2!J47,recreation_claude_v2_1!J47),0),"NA")</f>
        <v>0</v>
      </c>
      <c r="J47">
        <f>IF($E47 = 1,ROUND(SUM(recreation_claude_v2_5!K47,recreation_claude_v2_4!K47,recreation_claude_v2_3!K47,recreation_claude_v2_2!K47,recreation_claude_v2_1!K47)/COUNT(recreation_claude_v2_5!K47,recreation_claude_v2_4!K47,recreation_claude_v2_3!K47,recreation_claude_v2_2!K47,recreation_claude_v2_1!K47),0),"NA")</f>
        <v>1</v>
      </c>
      <c r="K47">
        <f>IF(AND($F47 = 1, $G47 = 1),ROUND(SUM(recreation_claude_v2_5!L47,recreation_claude_v2_4!L47,recreation_claude_v2_3!L47,recreation_claude_v2_2!L47,recreation_claude_v2_1!L47)/COUNT(recreation_claude_v2_5!L47,recreation_claude_v2_4!L47,recreation_claude_v2_3!L47,recreation_claude_v2_2!L47,recreation_claude_v2_1!L47),0),"NA")</f>
        <v>1</v>
      </c>
      <c r="L47">
        <f>IF($E47 = 1,ROUND(SUM(recreation_claude_v2_5!L47,recreation_claude_v2_4!L47,recreation_claude_v2_3!L47,recreation_claude_v2_2!L47,recreation_claude_v2_1!L47)/COUNT(recreation_claude_v2_5!L47,recreation_claude_v2_4!L47,recreation_claude_v2_3!L47,recreation_claude_v2_2!L47,recreation_claude_v2_1!L47),0),"NA")</f>
        <v>1</v>
      </c>
      <c r="M47">
        <f>IF($E47 = 1,ROUND(SUM(recreation_claude_v2_5!M47,recreation_claude_v2_4!M47,recreation_claude_v2_3!M47,recreation_claude_v2_2!M47,recreation_claude_v2_1!M47)/COUNT(recreation_claude_v2_5!M47,recreation_claude_v2_4!M47,recreation_claude_v2_3!M47,recreation_claude_v2_2!M47,recreation_claude_v2_1!M47),0),"NA")</f>
        <v>1</v>
      </c>
      <c r="N47">
        <f>IF($E47 = 1,ROUND(SUM(recreation_claude_v2_5!N47,recreation_claude_v2_4!N47,recreation_claude_v2_3!N47,recreation_claude_v2_2!N47,recreation_claude_v2_1!N47)/COUNT(recreation_claude_v2_5!N47,recreation_claude_v2_4!N47,recreation_claude_v2_3!N47,recreation_claude_v2_2!N47,recreation_claude_v2_1!N47),0),"NA")</f>
        <v>1</v>
      </c>
      <c r="O47">
        <f>IF($E47 = 1,ROUND(SUM(recreation_claude_v2_5!O47,recreation_claude_v2_4!O47,recreation_claude_v2_3!O47,recreation_claude_v2_2!O47,recreation_claude_v2_1!O47)/COUNT(recreation_claude_v2_5!O47,recreation_claude_v2_4!O47,recreation_claude_v2_3!O47,recreation_claude_v2_2!O47,recreation_claude_v2_1!O47),0),"NA")</f>
        <v>1</v>
      </c>
    </row>
    <row r="48" spans="1:15" x14ac:dyDescent="0.25">
      <c r="A48" t="s">
        <v>16</v>
      </c>
      <c r="B48" t="s">
        <v>87</v>
      </c>
      <c r="C48">
        <v>0</v>
      </c>
      <c r="D48">
        <v>12.029416561126711</v>
      </c>
      <c r="E48">
        <f>ROUND(SUM(recreation_claude_v2_5!E48,recreation_claude_v2_4!E48,recreation_claude_v2_3!E48,recreation_claude_v2_2!E48,recreation_claude_v2_1!E48)/COUNT(recreation_claude_v2_5!E48,recreation_claude_v2_4!E48,recreation_claude_v2_3!E48,recreation_claude_v2_2!E48,recreation_claude_v2_1!E48),0)</f>
        <v>1</v>
      </c>
      <c r="F48">
        <f>IF($E48 = 1,ROUND(SUM(recreation_claude_v2_5!F48,recreation_claude_v2_4!F48,recreation_claude_v2_3!F48,recreation_claude_v2_2!F48,recreation_claude_v2_1!F48)/COUNT(recreation_claude_v2_5!F48,recreation_claude_v2_4!F48,recreation_claude_v2_3!F48,recreation_claude_v2_2!F48,recreation_claude_v2_1!F48),0),"NA")</f>
        <v>1</v>
      </c>
      <c r="G48">
        <f>IF($E48 = 1,ROUND(SUM(recreation_claude_v2_5!G48,recreation_claude_v2_4!G48,recreation_claude_v2_3!G48,recreation_claude_v2_2!G48,recreation_claude_v2_1!G48)/COUNT(recreation_claude_v2_5!G48,recreation_claude_v2_4!G48,recreation_claude_v2_3!G48,recreation_claude_v2_2!G48,recreation_claude_v2_1!G48),0),"NA")</f>
        <v>1</v>
      </c>
      <c r="H48">
        <f>IF($E48 = 1,ROUND(SUM(recreation_claude_v2_5!I48,recreation_claude_v2_4!I48,recreation_claude_v2_3!I48,recreation_claude_v2_2!I48,recreation_claude_v2_1!I48)/COUNT(recreation_claude_v2_5!I48,recreation_claude_v2_4!I48,recreation_claude_v2_3!I48,recreation_claude_v2_2!I48,recreation_claude_v2_1!I48),0),"NA")</f>
        <v>1</v>
      </c>
      <c r="I48">
        <f>IF($F48 = 1,ROUND(SUM(recreation_claude_v2_5!J48,recreation_claude_v2_4!J48,recreation_claude_v2_3!J48,recreation_claude_v2_2!J48,recreation_claude_v2_1!J48)/COUNT(recreation_claude_v2_5!J48,recreation_claude_v2_4!J48,recreation_claude_v2_3!J48,recreation_claude_v2_2!J48,recreation_claude_v2_1!J48),0),"NA")</f>
        <v>0</v>
      </c>
      <c r="J48">
        <f>IF($E48 = 1,ROUND(SUM(recreation_claude_v2_5!K48,recreation_claude_v2_4!K48,recreation_claude_v2_3!K48,recreation_claude_v2_2!K48,recreation_claude_v2_1!K48)/COUNT(recreation_claude_v2_5!K48,recreation_claude_v2_4!K48,recreation_claude_v2_3!K48,recreation_claude_v2_2!K48,recreation_claude_v2_1!K48),0),"NA")</f>
        <v>1</v>
      </c>
      <c r="K48">
        <f>IF(AND($F48 = 1, $G48 = 1),ROUND(SUM(recreation_claude_v2_5!L48,recreation_claude_v2_4!L48,recreation_claude_v2_3!L48,recreation_claude_v2_2!L48,recreation_claude_v2_1!L48)/COUNT(recreation_claude_v2_5!L48,recreation_claude_v2_4!L48,recreation_claude_v2_3!L48,recreation_claude_v2_2!L48,recreation_claude_v2_1!L48),0),"NA")</f>
        <v>1</v>
      </c>
      <c r="L48">
        <f>IF($E48 = 1,ROUND(SUM(recreation_claude_v2_5!L48,recreation_claude_v2_4!L48,recreation_claude_v2_3!L48,recreation_claude_v2_2!L48,recreation_claude_v2_1!L48)/COUNT(recreation_claude_v2_5!L48,recreation_claude_v2_4!L48,recreation_claude_v2_3!L48,recreation_claude_v2_2!L48,recreation_claude_v2_1!L48),0),"NA")</f>
        <v>1</v>
      </c>
      <c r="M48">
        <f>IF($E48 = 1,ROUND(SUM(recreation_claude_v2_5!M48,recreation_claude_v2_4!M48,recreation_claude_v2_3!M48,recreation_claude_v2_2!M48,recreation_claude_v2_1!M48)/COUNT(recreation_claude_v2_5!M48,recreation_claude_v2_4!M48,recreation_claude_v2_3!M48,recreation_claude_v2_2!M48,recreation_claude_v2_1!M48),0),"NA")</f>
        <v>1</v>
      </c>
      <c r="N48">
        <f>IF($E48 = 1,ROUND(SUM(recreation_claude_v2_5!N48,recreation_claude_v2_4!N48,recreation_claude_v2_3!N48,recreation_claude_v2_2!N48,recreation_claude_v2_1!N48)/COUNT(recreation_claude_v2_5!N48,recreation_claude_v2_4!N48,recreation_claude_v2_3!N48,recreation_claude_v2_2!N48,recreation_claude_v2_1!N48),0),"NA")</f>
        <v>1</v>
      </c>
      <c r="O48">
        <f>IF($E48 = 1,ROUND(SUM(recreation_claude_v2_5!O48,recreation_claude_v2_4!O48,recreation_claude_v2_3!O48,recreation_claude_v2_2!O48,recreation_claude_v2_1!O48)/COUNT(recreation_claude_v2_5!O48,recreation_claude_v2_4!O48,recreation_claude_v2_3!O48,recreation_claude_v2_2!O48,recreation_claude_v2_1!O48),0),"NA")</f>
        <v>1</v>
      </c>
    </row>
    <row r="49" spans="1:15" x14ac:dyDescent="0.25">
      <c r="A49" t="s">
        <v>16</v>
      </c>
      <c r="B49" t="s">
        <v>89</v>
      </c>
      <c r="C49">
        <v>0</v>
      </c>
      <c r="D49">
        <v>9.471306324005127</v>
      </c>
      <c r="E49">
        <f>ROUND(SUM(recreation_claude_v2_5!E49,recreation_claude_v2_4!E49,recreation_claude_v2_3!E49,recreation_claude_v2_2!E49,recreation_claude_v2_1!E49)/COUNT(recreation_claude_v2_5!E49,recreation_claude_v2_4!E49,recreation_claude_v2_3!E49,recreation_claude_v2_2!E49,recreation_claude_v2_1!E49),0)</f>
        <v>1</v>
      </c>
      <c r="F49">
        <f>IF($E49 = 1,ROUND(SUM(recreation_claude_v2_5!F49,recreation_claude_v2_4!F49,recreation_claude_v2_3!F49,recreation_claude_v2_2!F49,recreation_claude_v2_1!F49)/COUNT(recreation_claude_v2_5!F49,recreation_claude_v2_4!F49,recreation_claude_v2_3!F49,recreation_claude_v2_2!F49,recreation_claude_v2_1!F49),0),"NA")</f>
        <v>1</v>
      </c>
      <c r="G49">
        <f>IF($E49 = 1,ROUND(SUM(recreation_claude_v2_5!G49,recreation_claude_v2_4!G49,recreation_claude_v2_3!G49,recreation_claude_v2_2!G49,recreation_claude_v2_1!G49)/COUNT(recreation_claude_v2_5!G49,recreation_claude_v2_4!G49,recreation_claude_v2_3!G49,recreation_claude_v2_2!G49,recreation_claude_v2_1!G49),0),"NA")</f>
        <v>1</v>
      </c>
      <c r="H49">
        <f>IF($E49 = 1,ROUND(SUM(recreation_claude_v2_5!I49,recreation_claude_v2_4!I49,recreation_claude_v2_3!I49,recreation_claude_v2_2!I49,recreation_claude_v2_1!I49)/COUNT(recreation_claude_v2_5!I49,recreation_claude_v2_4!I49,recreation_claude_v2_3!I49,recreation_claude_v2_2!I49,recreation_claude_v2_1!I49),0),"NA")</f>
        <v>1</v>
      </c>
      <c r="I49">
        <f>IF($F49 = 1,ROUND(SUM(recreation_claude_v2_5!J49,recreation_claude_v2_4!J49,recreation_claude_v2_3!J49,recreation_claude_v2_2!J49,recreation_claude_v2_1!J49)/COUNT(recreation_claude_v2_5!J49,recreation_claude_v2_4!J49,recreation_claude_v2_3!J49,recreation_claude_v2_2!J49,recreation_claude_v2_1!J49),0),"NA")</f>
        <v>1</v>
      </c>
      <c r="J49">
        <f>IF($E49 = 1,ROUND(SUM(recreation_claude_v2_5!K49,recreation_claude_v2_4!K49,recreation_claude_v2_3!K49,recreation_claude_v2_2!K49,recreation_claude_v2_1!K49)/COUNT(recreation_claude_v2_5!K49,recreation_claude_v2_4!K49,recreation_claude_v2_3!K49,recreation_claude_v2_2!K49,recreation_claude_v2_1!K49),0),"NA")</f>
        <v>1</v>
      </c>
      <c r="K49">
        <f>IF(AND($F49 = 1, $G49 = 1),ROUND(SUM(recreation_claude_v2_5!L49,recreation_claude_v2_4!L49,recreation_claude_v2_3!L49,recreation_claude_v2_2!L49,recreation_claude_v2_1!L49)/COUNT(recreation_claude_v2_5!L49,recreation_claude_v2_4!L49,recreation_claude_v2_3!L49,recreation_claude_v2_2!L49,recreation_claude_v2_1!L49),0),"NA")</f>
        <v>1</v>
      </c>
      <c r="L49">
        <f>IF($E49 = 1,ROUND(SUM(recreation_claude_v2_5!L49,recreation_claude_v2_4!L49,recreation_claude_v2_3!L49,recreation_claude_v2_2!L49,recreation_claude_v2_1!L49)/COUNT(recreation_claude_v2_5!L49,recreation_claude_v2_4!L49,recreation_claude_v2_3!L49,recreation_claude_v2_2!L49,recreation_claude_v2_1!L49),0),"NA")</f>
        <v>1</v>
      </c>
      <c r="M49">
        <f>IF($E49 = 1,ROUND(SUM(recreation_claude_v2_5!M49,recreation_claude_v2_4!M49,recreation_claude_v2_3!M49,recreation_claude_v2_2!M49,recreation_claude_v2_1!M49)/COUNT(recreation_claude_v2_5!M49,recreation_claude_v2_4!M49,recreation_claude_v2_3!M49,recreation_claude_v2_2!M49,recreation_claude_v2_1!M49),0),"NA")</f>
        <v>1</v>
      </c>
      <c r="N49">
        <f>IF($E49 = 1,ROUND(SUM(recreation_claude_v2_5!N49,recreation_claude_v2_4!N49,recreation_claude_v2_3!N49,recreation_claude_v2_2!N49,recreation_claude_v2_1!N49)/COUNT(recreation_claude_v2_5!N49,recreation_claude_v2_4!N49,recreation_claude_v2_3!N49,recreation_claude_v2_2!N49,recreation_claude_v2_1!N49),0),"NA")</f>
        <v>1</v>
      </c>
      <c r="O49">
        <f>IF($E49 = 1,ROUND(SUM(recreation_claude_v2_5!O49,recreation_claude_v2_4!O49,recreation_claude_v2_3!O49,recreation_claude_v2_2!O49,recreation_claude_v2_1!O49)/COUNT(recreation_claude_v2_5!O49,recreation_claude_v2_4!O49,recreation_claude_v2_3!O49,recreation_claude_v2_2!O49,recreation_claude_v2_1!O49),0),"NA")</f>
        <v>1</v>
      </c>
    </row>
    <row r="50" spans="1:15" x14ac:dyDescent="0.25">
      <c r="A50" t="s">
        <v>16</v>
      </c>
      <c r="B50" t="s">
        <v>90</v>
      </c>
      <c r="C50">
        <v>0</v>
      </c>
      <c r="D50">
        <v>5.2286169528961182</v>
      </c>
      <c r="E50">
        <f>ROUND(SUM(recreation_claude_v2_5!E50,recreation_claude_v2_4!E50,recreation_claude_v2_3!E50,recreation_claude_v2_2!E50,recreation_claude_v2_1!E50)/COUNT(recreation_claude_v2_5!E50,recreation_claude_v2_4!E50,recreation_claude_v2_3!E50,recreation_claude_v2_2!E50,recreation_claude_v2_1!E50),0)</f>
        <v>1</v>
      </c>
      <c r="F50">
        <f>IF($E50 = 1,ROUND(SUM(recreation_claude_v2_5!F50,recreation_claude_v2_4!F50,recreation_claude_v2_3!F50,recreation_claude_v2_2!F50,recreation_claude_v2_1!F50)/COUNT(recreation_claude_v2_5!F50,recreation_claude_v2_4!F50,recreation_claude_v2_3!F50,recreation_claude_v2_2!F50,recreation_claude_v2_1!F50),0),"NA")</f>
        <v>1</v>
      </c>
      <c r="G50">
        <f>IF($E50 = 1,ROUND(SUM(recreation_claude_v2_5!G50,recreation_claude_v2_4!G50,recreation_claude_v2_3!G50,recreation_claude_v2_2!G50,recreation_claude_v2_1!G50)/COUNT(recreation_claude_v2_5!G50,recreation_claude_v2_4!G50,recreation_claude_v2_3!G50,recreation_claude_v2_2!G50,recreation_claude_v2_1!G50),0),"NA")</f>
        <v>1</v>
      </c>
      <c r="H50">
        <f>IF($E50 = 1,ROUND(SUM(recreation_claude_v2_5!I50,recreation_claude_v2_4!I50,recreation_claude_v2_3!I50,recreation_claude_v2_2!I50,recreation_claude_v2_1!I50)/COUNT(recreation_claude_v2_5!I50,recreation_claude_v2_4!I50,recreation_claude_v2_3!I50,recreation_claude_v2_2!I50,recreation_claude_v2_1!I50),0),"NA")</f>
        <v>1</v>
      </c>
      <c r="I50">
        <f>IF($F50 = 1,ROUND(SUM(recreation_claude_v2_5!J50,recreation_claude_v2_4!J50,recreation_claude_v2_3!J50,recreation_claude_v2_2!J50,recreation_claude_v2_1!J50)/COUNT(recreation_claude_v2_5!J50,recreation_claude_v2_4!J50,recreation_claude_v2_3!J50,recreation_claude_v2_2!J50,recreation_claude_v2_1!J50),0),"NA")</f>
        <v>0</v>
      </c>
      <c r="J50">
        <f>IF($E50 = 1,ROUND(SUM(recreation_claude_v2_5!K50,recreation_claude_v2_4!K50,recreation_claude_v2_3!K50,recreation_claude_v2_2!K50,recreation_claude_v2_1!K50)/COUNT(recreation_claude_v2_5!K50,recreation_claude_v2_4!K50,recreation_claude_v2_3!K50,recreation_claude_v2_2!K50,recreation_claude_v2_1!K50),0),"NA")</f>
        <v>1</v>
      </c>
      <c r="K50">
        <f>IF(AND($F50 = 1, $G50 = 1),ROUND(SUM(recreation_claude_v2_5!L50,recreation_claude_v2_4!L50,recreation_claude_v2_3!L50,recreation_claude_v2_2!L50,recreation_claude_v2_1!L50)/COUNT(recreation_claude_v2_5!L50,recreation_claude_v2_4!L50,recreation_claude_v2_3!L50,recreation_claude_v2_2!L50,recreation_claude_v2_1!L50),0),"NA")</f>
        <v>1</v>
      </c>
      <c r="L50">
        <f>IF($E50 = 1,ROUND(SUM(recreation_claude_v2_5!L50,recreation_claude_v2_4!L50,recreation_claude_v2_3!L50,recreation_claude_v2_2!L50,recreation_claude_v2_1!L50)/COUNT(recreation_claude_v2_5!L50,recreation_claude_v2_4!L50,recreation_claude_v2_3!L50,recreation_claude_v2_2!L50,recreation_claude_v2_1!L50),0),"NA")</f>
        <v>1</v>
      </c>
      <c r="M50">
        <f>IF($E50 = 1,ROUND(SUM(recreation_claude_v2_5!M50,recreation_claude_v2_4!M50,recreation_claude_v2_3!M50,recreation_claude_v2_2!M50,recreation_claude_v2_1!M50)/COUNT(recreation_claude_v2_5!M50,recreation_claude_v2_4!M50,recreation_claude_v2_3!M50,recreation_claude_v2_2!M50,recreation_claude_v2_1!M50),0),"NA")</f>
        <v>1</v>
      </c>
      <c r="N50">
        <f>IF($E50 = 1,ROUND(SUM(recreation_claude_v2_5!N50,recreation_claude_v2_4!N50,recreation_claude_v2_3!N50,recreation_claude_v2_2!N50,recreation_claude_v2_1!N50)/COUNT(recreation_claude_v2_5!N50,recreation_claude_v2_4!N50,recreation_claude_v2_3!N50,recreation_claude_v2_2!N50,recreation_claude_v2_1!N50),0),"NA")</f>
        <v>1</v>
      </c>
      <c r="O50">
        <f>IF($E50 = 1,ROUND(SUM(recreation_claude_v2_5!O50,recreation_claude_v2_4!O50,recreation_claude_v2_3!O50,recreation_claude_v2_2!O50,recreation_claude_v2_1!O50)/COUNT(recreation_claude_v2_5!O50,recreation_claude_v2_4!O50,recreation_claude_v2_3!O50,recreation_claude_v2_2!O50,recreation_claude_v2_1!O50),0),"NA")</f>
        <v>1</v>
      </c>
    </row>
    <row r="51" spans="1:15" x14ac:dyDescent="0.25">
      <c r="A51" t="s">
        <v>92</v>
      </c>
      <c r="B51" t="s">
        <v>17</v>
      </c>
      <c r="C51">
        <v>0</v>
      </c>
      <c r="D51">
        <v>10.65648078918457</v>
      </c>
      <c r="E51">
        <f>ROUND(SUM(recreation_claude_v2_5!E51,recreation_claude_v2_4!E51,recreation_claude_v2_3!E51,recreation_claude_v2_2!E51,recreation_claude_v2_1!E51)/COUNT(recreation_claude_v2_5!E51,recreation_claude_v2_4!E51,recreation_claude_v2_3!E51,recreation_claude_v2_2!E51,recreation_claude_v2_1!E51),0)</f>
        <v>1</v>
      </c>
      <c r="F51">
        <f>IF($E51 = 1,ROUND(SUM(recreation_claude_v2_5!F51,recreation_claude_v2_4!F51,recreation_claude_v2_3!F51,recreation_claude_v2_2!F51,recreation_claude_v2_1!F51)/COUNT(recreation_claude_v2_5!F51,recreation_claude_v2_4!F51,recreation_claude_v2_3!F51,recreation_claude_v2_2!F51,recreation_claude_v2_1!F51),0),"NA")</f>
        <v>1</v>
      </c>
      <c r="G51">
        <f>IF($E51 = 1,ROUND(SUM(recreation_claude_v2_5!G51,recreation_claude_v2_4!G51,recreation_claude_v2_3!G51,recreation_claude_v2_2!G51,recreation_claude_v2_1!G51)/COUNT(recreation_claude_v2_5!G51,recreation_claude_v2_4!G51,recreation_claude_v2_3!G51,recreation_claude_v2_2!G51,recreation_claude_v2_1!G51),0),"NA")</f>
        <v>1</v>
      </c>
      <c r="H51">
        <f>IF($E51 = 1,ROUND(SUM(recreation_claude_v2_5!I51,recreation_claude_v2_4!I51,recreation_claude_v2_3!I51,recreation_claude_v2_2!I51,recreation_claude_v2_1!I51)/COUNT(recreation_claude_v2_5!I51,recreation_claude_v2_4!I51,recreation_claude_v2_3!I51,recreation_claude_v2_2!I51,recreation_claude_v2_1!I51),0),"NA")</f>
        <v>1</v>
      </c>
      <c r="I51">
        <f>IF($F51 = 1,ROUND(SUM(recreation_claude_v2_5!J51,recreation_claude_v2_4!J51,recreation_claude_v2_3!J51,recreation_claude_v2_2!J51,recreation_claude_v2_1!J51)/COUNT(recreation_claude_v2_5!J51,recreation_claude_v2_4!J51,recreation_claude_v2_3!J51,recreation_claude_v2_2!J51,recreation_claude_v2_1!J51),0),"NA")</f>
        <v>1</v>
      </c>
      <c r="J51">
        <f>IF($E51 = 1,ROUND(SUM(recreation_claude_v2_5!K51,recreation_claude_v2_4!K51,recreation_claude_v2_3!K51,recreation_claude_v2_2!K51,recreation_claude_v2_1!K51)/COUNT(recreation_claude_v2_5!K51,recreation_claude_v2_4!K51,recreation_claude_v2_3!K51,recreation_claude_v2_2!K51,recreation_claude_v2_1!K51),0),"NA")</f>
        <v>1</v>
      </c>
      <c r="K51">
        <f>IF(AND($F51 = 1, $G51 = 1),ROUND(SUM(recreation_claude_v2_5!L51,recreation_claude_v2_4!L51,recreation_claude_v2_3!L51,recreation_claude_v2_2!L51,recreation_claude_v2_1!L51)/COUNT(recreation_claude_v2_5!L51,recreation_claude_v2_4!L51,recreation_claude_v2_3!L51,recreation_claude_v2_2!L51,recreation_claude_v2_1!L51),0),"NA")</f>
        <v>1</v>
      </c>
      <c r="L51">
        <f>IF($E51 = 1,ROUND(SUM(recreation_claude_v2_5!L51,recreation_claude_v2_4!L51,recreation_claude_v2_3!L51,recreation_claude_v2_2!L51,recreation_claude_v2_1!L51)/COUNT(recreation_claude_v2_5!L51,recreation_claude_v2_4!L51,recreation_claude_v2_3!L51,recreation_claude_v2_2!L51,recreation_claude_v2_1!L51),0),"NA")</f>
        <v>1</v>
      </c>
      <c r="M51">
        <f>IF($E51 = 1,ROUND(SUM(recreation_claude_v2_5!M51,recreation_claude_v2_4!M51,recreation_claude_v2_3!M51,recreation_claude_v2_2!M51,recreation_claude_v2_1!M51)/COUNT(recreation_claude_v2_5!M51,recreation_claude_v2_4!M51,recreation_claude_v2_3!M51,recreation_claude_v2_2!M51,recreation_claude_v2_1!M51),0),"NA")</f>
        <v>1</v>
      </c>
      <c r="N51">
        <f>IF($E51 = 1,ROUND(SUM(recreation_claude_v2_5!N51,recreation_claude_v2_4!N51,recreation_claude_v2_3!N51,recreation_claude_v2_2!N51,recreation_claude_v2_1!N51)/COUNT(recreation_claude_v2_5!N51,recreation_claude_v2_4!N51,recreation_claude_v2_3!N51,recreation_claude_v2_2!N51,recreation_claude_v2_1!N51),0),"NA")</f>
        <v>1</v>
      </c>
      <c r="O51">
        <f>IF($E51 = 1,ROUND(SUM(recreation_claude_v2_5!O51,recreation_claude_v2_4!O51,recreation_claude_v2_3!O51,recreation_claude_v2_2!O51,recreation_claude_v2_1!O51)/COUNT(recreation_claude_v2_5!O51,recreation_claude_v2_4!O51,recreation_claude_v2_3!O51,recreation_claude_v2_2!O51,recreation_claude_v2_1!O51),0),"NA")</f>
        <v>1</v>
      </c>
    </row>
    <row r="52" spans="1:15" x14ac:dyDescent="0.25">
      <c r="A52" t="s">
        <v>92</v>
      </c>
      <c r="B52" t="s">
        <v>19</v>
      </c>
      <c r="C52">
        <v>0</v>
      </c>
      <c r="D52">
        <v>10.204379558563231</v>
      </c>
      <c r="E52">
        <f>ROUND(SUM(recreation_claude_v2_5!E52,recreation_claude_v2_4!E52,recreation_claude_v2_3!E52,recreation_claude_v2_2!E52,recreation_claude_v2_1!E52)/COUNT(recreation_claude_v2_5!E52,recreation_claude_v2_4!E52,recreation_claude_v2_3!E52,recreation_claude_v2_2!E52,recreation_claude_v2_1!E52),0)</f>
        <v>1</v>
      </c>
      <c r="F52">
        <f>IF($E52 = 1,ROUND(SUM(recreation_claude_v2_5!F52,recreation_claude_v2_4!F52,recreation_claude_v2_3!F52,recreation_claude_v2_2!F52,recreation_claude_v2_1!F52)/COUNT(recreation_claude_v2_5!F52,recreation_claude_v2_4!F52,recreation_claude_v2_3!F52,recreation_claude_v2_2!F52,recreation_claude_v2_1!F52),0),"NA")</f>
        <v>1</v>
      </c>
      <c r="G52">
        <f>IF($E52 = 1,ROUND(SUM(recreation_claude_v2_5!G52,recreation_claude_v2_4!G52,recreation_claude_v2_3!G52,recreation_claude_v2_2!G52,recreation_claude_v2_1!G52)/COUNT(recreation_claude_v2_5!G52,recreation_claude_v2_4!G52,recreation_claude_v2_3!G52,recreation_claude_v2_2!G52,recreation_claude_v2_1!G52),0),"NA")</f>
        <v>0</v>
      </c>
      <c r="H52">
        <f>IF($E52 = 1,ROUND(SUM(recreation_claude_v2_5!I52,recreation_claude_v2_4!I52,recreation_claude_v2_3!I52,recreation_claude_v2_2!I52,recreation_claude_v2_1!I52)/COUNT(recreation_claude_v2_5!I52,recreation_claude_v2_4!I52,recreation_claude_v2_3!I52,recreation_claude_v2_2!I52,recreation_claude_v2_1!I52),0),"NA")</f>
        <v>1</v>
      </c>
      <c r="I52">
        <f>IF($F52 = 1,ROUND(SUM(recreation_claude_v2_5!J52,recreation_claude_v2_4!J52,recreation_claude_v2_3!J52,recreation_claude_v2_2!J52,recreation_claude_v2_1!J52)/COUNT(recreation_claude_v2_5!J52,recreation_claude_v2_4!J52,recreation_claude_v2_3!J52,recreation_claude_v2_2!J52,recreation_claude_v2_1!J52),0),"NA")</f>
        <v>1</v>
      </c>
      <c r="J52">
        <f>IF($E52 = 1,ROUND(SUM(recreation_claude_v2_5!K52,recreation_claude_v2_4!K52,recreation_claude_v2_3!K52,recreation_claude_v2_2!K52,recreation_claude_v2_1!K52)/COUNT(recreation_claude_v2_5!K52,recreation_claude_v2_4!K52,recreation_claude_v2_3!K52,recreation_claude_v2_2!K52,recreation_claude_v2_1!K52),0),"NA")</f>
        <v>1</v>
      </c>
      <c r="K52" t="str">
        <f>IF(AND($F52 = 1, $G52 = 1),ROUND(SUM(recreation_claude_v2_5!L52,recreation_claude_v2_4!L52,recreation_claude_v2_3!L52,recreation_claude_v2_2!L52,recreation_claude_v2_1!L52)/COUNT(recreation_claude_v2_5!L52,recreation_claude_v2_4!L52,recreation_claude_v2_3!L52,recreation_claude_v2_2!L52,recreation_claude_v2_1!L52),0),"NA")</f>
        <v>NA</v>
      </c>
      <c r="L52">
        <f>IF($E52 = 1,ROUND(SUM(recreation_claude_v2_5!L52,recreation_claude_v2_4!L52,recreation_claude_v2_3!L52,recreation_claude_v2_2!L52,recreation_claude_v2_1!L52)/COUNT(recreation_claude_v2_5!L52,recreation_claude_v2_4!L52,recreation_claude_v2_3!L52,recreation_claude_v2_2!L52,recreation_claude_v2_1!L52),0),"NA")</f>
        <v>1</v>
      </c>
      <c r="M52">
        <f>IF($E52 = 1,ROUND(SUM(recreation_claude_v2_5!M52,recreation_claude_v2_4!M52,recreation_claude_v2_3!M52,recreation_claude_v2_2!M52,recreation_claude_v2_1!M52)/COUNT(recreation_claude_v2_5!M52,recreation_claude_v2_4!M52,recreation_claude_v2_3!M52,recreation_claude_v2_2!M52,recreation_claude_v2_1!M52),0),"NA")</f>
        <v>1</v>
      </c>
      <c r="N52">
        <f>IF($E52 = 1,ROUND(SUM(recreation_claude_v2_5!N52,recreation_claude_v2_4!N52,recreation_claude_v2_3!N52,recreation_claude_v2_2!N52,recreation_claude_v2_1!N52)/COUNT(recreation_claude_v2_5!N52,recreation_claude_v2_4!N52,recreation_claude_v2_3!N52,recreation_claude_v2_2!N52,recreation_claude_v2_1!N52),0),"NA")</f>
        <v>1</v>
      </c>
      <c r="O52">
        <f>IF($E52 = 1,ROUND(SUM(recreation_claude_v2_5!O52,recreation_claude_v2_4!O52,recreation_claude_v2_3!O52,recreation_claude_v2_2!O52,recreation_claude_v2_1!O52)/COUNT(recreation_claude_v2_5!O52,recreation_claude_v2_4!O52,recreation_claude_v2_3!O52,recreation_claude_v2_2!O52,recreation_claude_v2_1!O52),0),"NA")</f>
        <v>1</v>
      </c>
    </row>
    <row r="53" spans="1:15" x14ac:dyDescent="0.25">
      <c r="A53" t="s">
        <v>92</v>
      </c>
      <c r="B53" t="s">
        <v>20</v>
      </c>
      <c r="C53">
        <v>0</v>
      </c>
      <c r="D53">
        <v>2.8809468746185298</v>
      </c>
      <c r="E53">
        <f>ROUND(SUM(recreation_claude_v2_5!E53,recreation_claude_v2_4!E53,recreation_claude_v2_3!E53,recreation_claude_v2_2!E53,recreation_claude_v2_1!E53)/COUNT(recreation_claude_v2_5!E53,recreation_claude_v2_4!E53,recreation_claude_v2_3!E53,recreation_claude_v2_2!E53,recreation_claude_v2_1!E53),0)</f>
        <v>1</v>
      </c>
      <c r="F53">
        <f>IF($E53 = 1,ROUND(SUM(recreation_claude_v2_5!F53,recreation_claude_v2_4!F53,recreation_claude_v2_3!F53,recreation_claude_v2_2!F53,recreation_claude_v2_1!F53)/COUNT(recreation_claude_v2_5!F53,recreation_claude_v2_4!F53,recreation_claude_v2_3!F53,recreation_claude_v2_2!F53,recreation_claude_v2_1!F53),0),"NA")</f>
        <v>1</v>
      </c>
      <c r="G53">
        <f>IF($E53 = 1,ROUND(SUM(recreation_claude_v2_5!G53,recreation_claude_v2_4!G53,recreation_claude_v2_3!G53,recreation_claude_v2_2!G53,recreation_claude_v2_1!G53)/COUNT(recreation_claude_v2_5!G53,recreation_claude_v2_4!G53,recreation_claude_v2_3!G53,recreation_claude_v2_2!G53,recreation_claude_v2_1!G53),0),"NA")</f>
        <v>1</v>
      </c>
      <c r="H53">
        <f>IF($E53 = 1,ROUND(SUM(recreation_claude_v2_5!I53,recreation_claude_v2_4!I53,recreation_claude_v2_3!I53,recreation_claude_v2_2!I53,recreation_claude_v2_1!I53)/COUNT(recreation_claude_v2_5!I53,recreation_claude_v2_4!I53,recreation_claude_v2_3!I53,recreation_claude_v2_2!I53,recreation_claude_v2_1!I53),0),"NA")</f>
        <v>1</v>
      </c>
      <c r="I53">
        <f>IF($F53 = 1,ROUND(SUM(recreation_claude_v2_5!J53,recreation_claude_v2_4!J53,recreation_claude_v2_3!J53,recreation_claude_v2_2!J53,recreation_claude_v2_1!J53)/COUNT(recreation_claude_v2_5!J53,recreation_claude_v2_4!J53,recreation_claude_v2_3!J53,recreation_claude_v2_2!J53,recreation_claude_v2_1!J53),0),"NA")</f>
        <v>1</v>
      </c>
      <c r="J53">
        <f>IF($E53 = 1,ROUND(SUM(recreation_claude_v2_5!K53,recreation_claude_v2_4!K53,recreation_claude_v2_3!K53,recreation_claude_v2_2!K53,recreation_claude_v2_1!K53)/COUNT(recreation_claude_v2_5!K53,recreation_claude_v2_4!K53,recreation_claude_v2_3!K53,recreation_claude_v2_2!K53,recreation_claude_v2_1!K53),0),"NA")</f>
        <v>1</v>
      </c>
      <c r="K53">
        <f>IF(AND($F53 = 1, $G53 = 1),ROUND(SUM(recreation_claude_v2_5!L53,recreation_claude_v2_4!L53,recreation_claude_v2_3!L53,recreation_claude_v2_2!L53,recreation_claude_v2_1!L53)/COUNT(recreation_claude_v2_5!L53,recreation_claude_v2_4!L53,recreation_claude_v2_3!L53,recreation_claude_v2_2!L53,recreation_claude_v2_1!L53),0),"NA")</f>
        <v>1</v>
      </c>
      <c r="L53">
        <f>IF($E53 = 1,ROUND(SUM(recreation_claude_v2_5!L53,recreation_claude_v2_4!L53,recreation_claude_v2_3!L53,recreation_claude_v2_2!L53,recreation_claude_v2_1!L53)/COUNT(recreation_claude_v2_5!L53,recreation_claude_v2_4!L53,recreation_claude_v2_3!L53,recreation_claude_v2_2!L53,recreation_claude_v2_1!L53),0),"NA")</f>
        <v>1</v>
      </c>
      <c r="M53">
        <f>IF($E53 = 1,ROUND(SUM(recreation_claude_v2_5!M53,recreation_claude_v2_4!M53,recreation_claude_v2_3!M53,recreation_claude_v2_2!M53,recreation_claude_v2_1!M53)/COUNT(recreation_claude_v2_5!M53,recreation_claude_v2_4!M53,recreation_claude_v2_3!M53,recreation_claude_v2_2!M53,recreation_claude_v2_1!M53),0),"NA")</f>
        <v>1</v>
      </c>
      <c r="N53">
        <f>IF($E53 = 1,ROUND(SUM(recreation_claude_v2_5!N53,recreation_claude_v2_4!N53,recreation_claude_v2_3!N53,recreation_claude_v2_2!N53,recreation_claude_v2_1!N53)/COUNT(recreation_claude_v2_5!N53,recreation_claude_v2_4!N53,recreation_claude_v2_3!N53,recreation_claude_v2_2!N53,recreation_claude_v2_1!N53),0),"NA")</f>
        <v>1</v>
      </c>
      <c r="O53">
        <f>IF($E53 = 1,ROUND(SUM(recreation_claude_v2_5!O53,recreation_claude_v2_4!O53,recreation_claude_v2_3!O53,recreation_claude_v2_2!O53,recreation_claude_v2_1!O53)/COUNT(recreation_claude_v2_5!O53,recreation_claude_v2_4!O53,recreation_claude_v2_3!O53,recreation_claude_v2_2!O53,recreation_claude_v2_1!O53),0),"NA")</f>
        <v>1</v>
      </c>
    </row>
    <row r="54" spans="1:15" x14ac:dyDescent="0.25">
      <c r="A54" t="s">
        <v>92</v>
      </c>
      <c r="B54" t="s">
        <v>21</v>
      </c>
      <c r="C54">
        <v>0</v>
      </c>
      <c r="D54">
        <v>3.0364148616790771</v>
      </c>
      <c r="E54">
        <f>ROUND(SUM(recreation_claude_v2_5!E54,recreation_claude_v2_4!E54,recreation_claude_v2_3!E54,recreation_claude_v2_2!E54,recreation_claude_v2_1!E54)/COUNT(recreation_claude_v2_5!E54,recreation_claude_v2_4!E54,recreation_claude_v2_3!E54,recreation_claude_v2_2!E54,recreation_claude_v2_1!E54),0)</f>
        <v>1</v>
      </c>
      <c r="F54">
        <f>IF($E54 = 1,ROUND(SUM(recreation_claude_v2_5!F54,recreation_claude_v2_4!F54,recreation_claude_v2_3!F54,recreation_claude_v2_2!F54,recreation_claude_v2_1!F54)/COUNT(recreation_claude_v2_5!F54,recreation_claude_v2_4!F54,recreation_claude_v2_3!F54,recreation_claude_v2_2!F54,recreation_claude_v2_1!F54),0),"NA")</f>
        <v>1</v>
      </c>
      <c r="G54">
        <f>IF($E54 = 1,ROUND(SUM(recreation_claude_v2_5!G54,recreation_claude_v2_4!G54,recreation_claude_v2_3!G54,recreation_claude_v2_2!G54,recreation_claude_v2_1!G54)/COUNT(recreation_claude_v2_5!G54,recreation_claude_v2_4!G54,recreation_claude_v2_3!G54,recreation_claude_v2_2!G54,recreation_claude_v2_1!G54),0),"NA")</f>
        <v>1</v>
      </c>
      <c r="H54">
        <f>IF($E54 = 1,ROUND(SUM(recreation_claude_v2_5!I54,recreation_claude_v2_4!I54,recreation_claude_v2_3!I54,recreation_claude_v2_2!I54,recreation_claude_v2_1!I54)/COUNT(recreation_claude_v2_5!I54,recreation_claude_v2_4!I54,recreation_claude_v2_3!I54,recreation_claude_v2_2!I54,recreation_claude_v2_1!I54),0),"NA")</f>
        <v>1</v>
      </c>
      <c r="I54">
        <f>IF($F54 = 1,ROUND(SUM(recreation_claude_v2_5!J54,recreation_claude_v2_4!J54,recreation_claude_v2_3!J54,recreation_claude_v2_2!J54,recreation_claude_v2_1!J54)/COUNT(recreation_claude_v2_5!J54,recreation_claude_v2_4!J54,recreation_claude_v2_3!J54,recreation_claude_v2_2!J54,recreation_claude_v2_1!J54),0),"NA")</f>
        <v>1</v>
      </c>
      <c r="J54">
        <f>IF($E54 = 1,ROUND(SUM(recreation_claude_v2_5!K54,recreation_claude_v2_4!K54,recreation_claude_v2_3!K54,recreation_claude_v2_2!K54,recreation_claude_v2_1!K54)/COUNT(recreation_claude_v2_5!K54,recreation_claude_v2_4!K54,recreation_claude_v2_3!K54,recreation_claude_v2_2!K54,recreation_claude_v2_1!K54),0),"NA")</f>
        <v>1</v>
      </c>
      <c r="K54">
        <f>IF(AND($F54 = 1, $G54 = 1),ROUND(SUM(recreation_claude_v2_5!L54,recreation_claude_v2_4!L54,recreation_claude_v2_3!L54,recreation_claude_v2_2!L54,recreation_claude_v2_1!L54)/COUNT(recreation_claude_v2_5!L54,recreation_claude_v2_4!L54,recreation_claude_v2_3!L54,recreation_claude_v2_2!L54,recreation_claude_v2_1!L54),0),"NA")</f>
        <v>1</v>
      </c>
      <c r="L54">
        <f>IF($E54 = 1,ROUND(SUM(recreation_claude_v2_5!L54,recreation_claude_v2_4!L54,recreation_claude_v2_3!L54,recreation_claude_v2_2!L54,recreation_claude_v2_1!L54)/COUNT(recreation_claude_v2_5!L54,recreation_claude_v2_4!L54,recreation_claude_v2_3!L54,recreation_claude_v2_2!L54,recreation_claude_v2_1!L54),0),"NA")</f>
        <v>1</v>
      </c>
      <c r="M54">
        <f>IF($E54 = 1,ROUND(SUM(recreation_claude_v2_5!M54,recreation_claude_v2_4!M54,recreation_claude_v2_3!M54,recreation_claude_v2_2!M54,recreation_claude_v2_1!M54)/COUNT(recreation_claude_v2_5!M54,recreation_claude_v2_4!M54,recreation_claude_v2_3!M54,recreation_claude_v2_2!M54,recreation_claude_v2_1!M54),0),"NA")</f>
        <v>1</v>
      </c>
      <c r="N54">
        <f>IF($E54 = 1,ROUND(SUM(recreation_claude_v2_5!N54,recreation_claude_v2_4!N54,recreation_claude_v2_3!N54,recreation_claude_v2_2!N54,recreation_claude_v2_1!N54)/COUNT(recreation_claude_v2_5!N54,recreation_claude_v2_4!N54,recreation_claude_v2_3!N54,recreation_claude_v2_2!N54,recreation_claude_v2_1!N54),0),"NA")</f>
        <v>1</v>
      </c>
      <c r="O54">
        <f>IF($E54 = 1,ROUND(SUM(recreation_claude_v2_5!O54,recreation_claude_v2_4!O54,recreation_claude_v2_3!O54,recreation_claude_v2_2!O54,recreation_claude_v2_1!O54)/COUNT(recreation_claude_v2_5!O54,recreation_claude_v2_4!O54,recreation_claude_v2_3!O54,recreation_claude_v2_2!O54,recreation_claude_v2_1!O54),0),"NA")</f>
        <v>1</v>
      </c>
    </row>
    <row r="55" spans="1:15" x14ac:dyDescent="0.25">
      <c r="A55" t="s">
        <v>92</v>
      </c>
      <c r="B55" t="s">
        <v>24</v>
      </c>
      <c r="C55">
        <v>0</v>
      </c>
      <c r="D55">
        <v>7.2716004848480216</v>
      </c>
      <c r="E55">
        <f>ROUND(SUM(recreation_claude_v2_5!E55,recreation_claude_v2_4!E55,recreation_claude_v2_3!E55,recreation_claude_v2_2!E55,recreation_claude_v2_1!E55)/COUNT(recreation_claude_v2_5!E55,recreation_claude_v2_4!E55,recreation_claude_v2_3!E55,recreation_claude_v2_2!E55,recreation_claude_v2_1!E55),0)</f>
        <v>1</v>
      </c>
      <c r="F55">
        <f>IF($E55 = 1,ROUND(SUM(recreation_claude_v2_5!F55,recreation_claude_v2_4!F55,recreation_claude_v2_3!F55,recreation_claude_v2_2!F55,recreation_claude_v2_1!F55)/COUNT(recreation_claude_v2_5!F55,recreation_claude_v2_4!F55,recreation_claude_v2_3!F55,recreation_claude_v2_2!F55,recreation_claude_v2_1!F55),0),"NA")</f>
        <v>1</v>
      </c>
      <c r="G55">
        <f>IF($E55 = 1,ROUND(SUM(recreation_claude_v2_5!G55,recreation_claude_v2_4!G55,recreation_claude_v2_3!G55,recreation_claude_v2_2!G55,recreation_claude_v2_1!G55)/COUNT(recreation_claude_v2_5!G55,recreation_claude_v2_4!G55,recreation_claude_v2_3!G55,recreation_claude_v2_2!G55,recreation_claude_v2_1!G55),0),"NA")</f>
        <v>1</v>
      </c>
      <c r="H55">
        <f>IF($E55 = 1,ROUND(SUM(recreation_claude_v2_5!I55,recreation_claude_v2_4!I55,recreation_claude_v2_3!I55,recreation_claude_v2_2!I55,recreation_claude_v2_1!I55)/COUNT(recreation_claude_v2_5!I55,recreation_claude_v2_4!I55,recreation_claude_v2_3!I55,recreation_claude_v2_2!I55,recreation_claude_v2_1!I55),0),"NA")</f>
        <v>1</v>
      </c>
      <c r="I55">
        <f>IF($F55 = 1,ROUND(SUM(recreation_claude_v2_5!J55,recreation_claude_v2_4!J55,recreation_claude_v2_3!J55,recreation_claude_v2_2!J55,recreation_claude_v2_1!J55)/COUNT(recreation_claude_v2_5!J55,recreation_claude_v2_4!J55,recreation_claude_v2_3!J55,recreation_claude_v2_2!J55,recreation_claude_v2_1!J55),0),"NA")</f>
        <v>1</v>
      </c>
      <c r="J55">
        <f>IF($E55 = 1,ROUND(SUM(recreation_claude_v2_5!K55,recreation_claude_v2_4!K55,recreation_claude_v2_3!K55,recreation_claude_v2_2!K55,recreation_claude_v2_1!K55)/COUNT(recreation_claude_v2_5!K55,recreation_claude_v2_4!K55,recreation_claude_v2_3!K55,recreation_claude_v2_2!K55,recreation_claude_v2_1!K55),0),"NA")</f>
        <v>1</v>
      </c>
      <c r="K55">
        <f>IF(AND($F55 = 1, $G55 = 1),ROUND(SUM(recreation_claude_v2_5!L55,recreation_claude_v2_4!L55,recreation_claude_v2_3!L55,recreation_claude_v2_2!L55,recreation_claude_v2_1!L55)/COUNT(recreation_claude_v2_5!L55,recreation_claude_v2_4!L55,recreation_claude_v2_3!L55,recreation_claude_v2_2!L55,recreation_claude_v2_1!L55),0),"NA")</f>
        <v>1</v>
      </c>
      <c r="L55">
        <f>IF($E55 = 1,ROUND(SUM(recreation_claude_v2_5!L55,recreation_claude_v2_4!L55,recreation_claude_v2_3!L55,recreation_claude_v2_2!L55,recreation_claude_v2_1!L55)/COUNT(recreation_claude_v2_5!L55,recreation_claude_v2_4!L55,recreation_claude_v2_3!L55,recreation_claude_v2_2!L55,recreation_claude_v2_1!L55),0),"NA")</f>
        <v>1</v>
      </c>
      <c r="M55">
        <f>IF($E55 = 1,ROUND(SUM(recreation_claude_v2_5!M55,recreation_claude_v2_4!M55,recreation_claude_v2_3!M55,recreation_claude_v2_2!M55,recreation_claude_v2_1!M55)/COUNT(recreation_claude_v2_5!M55,recreation_claude_v2_4!M55,recreation_claude_v2_3!M55,recreation_claude_v2_2!M55,recreation_claude_v2_1!M55),0),"NA")</f>
        <v>1</v>
      </c>
      <c r="N55">
        <f>IF($E55 = 1,ROUND(SUM(recreation_claude_v2_5!N55,recreation_claude_v2_4!N55,recreation_claude_v2_3!N55,recreation_claude_v2_2!N55,recreation_claude_v2_1!N55)/COUNT(recreation_claude_v2_5!N55,recreation_claude_v2_4!N55,recreation_claude_v2_3!N55,recreation_claude_v2_2!N55,recreation_claude_v2_1!N55),0),"NA")</f>
        <v>1</v>
      </c>
      <c r="O55">
        <f>IF($E55 = 1,ROUND(SUM(recreation_claude_v2_5!O55,recreation_claude_v2_4!O55,recreation_claude_v2_3!O55,recreation_claude_v2_2!O55,recreation_claude_v2_1!O55)/COUNT(recreation_claude_v2_5!O55,recreation_claude_v2_4!O55,recreation_claude_v2_3!O55,recreation_claude_v2_2!O55,recreation_claude_v2_1!O55),0),"NA")</f>
        <v>1</v>
      </c>
    </row>
    <row r="56" spans="1:15" x14ac:dyDescent="0.25">
      <c r="A56" t="s">
        <v>92</v>
      </c>
      <c r="B56" t="s">
        <v>25</v>
      </c>
      <c r="C56">
        <v>0</v>
      </c>
      <c r="D56">
        <v>7.3693456649780273</v>
      </c>
      <c r="E56">
        <f>ROUND(SUM(recreation_claude_v2_5!E56,recreation_claude_v2_4!E56,recreation_claude_v2_3!E56,recreation_claude_v2_2!E56,recreation_claude_v2_1!E56)/COUNT(recreation_claude_v2_5!E56,recreation_claude_v2_4!E56,recreation_claude_v2_3!E56,recreation_claude_v2_2!E56,recreation_claude_v2_1!E56),0)</f>
        <v>1</v>
      </c>
      <c r="F56">
        <f>IF($E56 = 1,ROUND(SUM(recreation_claude_v2_5!F56,recreation_claude_v2_4!F56,recreation_claude_v2_3!F56,recreation_claude_v2_2!F56,recreation_claude_v2_1!F56)/COUNT(recreation_claude_v2_5!F56,recreation_claude_v2_4!F56,recreation_claude_v2_3!F56,recreation_claude_v2_2!F56,recreation_claude_v2_1!F56),0),"NA")</f>
        <v>1</v>
      </c>
      <c r="G56">
        <f>IF($E56 = 1,ROUND(SUM(recreation_claude_v2_5!G56,recreation_claude_v2_4!G56,recreation_claude_v2_3!G56,recreation_claude_v2_2!G56,recreation_claude_v2_1!G56)/COUNT(recreation_claude_v2_5!G56,recreation_claude_v2_4!G56,recreation_claude_v2_3!G56,recreation_claude_v2_2!G56,recreation_claude_v2_1!G56),0),"NA")</f>
        <v>0</v>
      </c>
      <c r="H56">
        <f>IF($E56 = 1,ROUND(SUM(recreation_claude_v2_5!I56,recreation_claude_v2_4!I56,recreation_claude_v2_3!I56,recreation_claude_v2_2!I56,recreation_claude_v2_1!I56)/COUNT(recreation_claude_v2_5!I56,recreation_claude_v2_4!I56,recreation_claude_v2_3!I56,recreation_claude_v2_2!I56,recreation_claude_v2_1!I56),0),"NA")</f>
        <v>1</v>
      </c>
      <c r="I56">
        <f>IF($F56 = 1,ROUND(SUM(recreation_claude_v2_5!J56,recreation_claude_v2_4!J56,recreation_claude_v2_3!J56,recreation_claude_v2_2!J56,recreation_claude_v2_1!J56)/COUNT(recreation_claude_v2_5!J56,recreation_claude_v2_4!J56,recreation_claude_v2_3!J56,recreation_claude_v2_2!J56,recreation_claude_v2_1!J56),0),"NA")</f>
        <v>1</v>
      </c>
      <c r="J56">
        <f>IF($E56 = 1,ROUND(SUM(recreation_claude_v2_5!K56,recreation_claude_v2_4!K56,recreation_claude_v2_3!K56,recreation_claude_v2_2!K56,recreation_claude_v2_1!K56)/COUNT(recreation_claude_v2_5!K56,recreation_claude_v2_4!K56,recreation_claude_v2_3!K56,recreation_claude_v2_2!K56,recreation_claude_v2_1!K56),0),"NA")</f>
        <v>1</v>
      </c>
      <c r="K56" t="str">
        <f>IF(AND($F56 = 1, $G56 = 1),ROUND(SUM(recreation_claude_v2_5!L56,recreation_claude_v2_4!L56,recreation_claude_v2_3!L56,recreation_claude_v2_2!L56,recreation_claude_v2_1!L56)/COUNT(recreation_claude_v2_5!L56,recreation_claude_v2_4!L56,recreation_claude_v2_3!L56,recreation_claude_v2_2!L56,recreation_claude_v2_1!L56),0),"NA")</f>
        <v>NA</v>
      </c>
      <c r="L56">
        <f>IF($E56 = 1,ROUND(SUM(recreation_claude_v2_5!L56,recreation_claude_v2_4!L56,recreation_claude_v2_3!L56,recreation_claude_v2_2!L56,recreation_claude_v2_1!L56)/COUNT(recreation_claude_v2_5!L56,recreation_claude_v2_4!L56,recreation_claude_v2_3!L56,recreation_claude_v2_2!L56,recreation_claude_v2_1!L56),0),"NA")</f>
        <v>1</v>
      </c>
      <c r="M56">
        <f>IF($E56 = 1,ROUND(SUM(recreation_claude_v2_5!M56,recreation_claude_v2_4!M56,recreation_claude_v2_3!M56,recreation_claude_v2_2!M56,recreation_claude_v2_1!M56)/COUNT(recreation_claude_v2_5!M56,recreation_claude_v2_4!M56,recreation_claude_v2_3!M56,recreation_claude_v2_2!M56,recreation_claude_v2_1!M56),0),"NA")</f>
        <v>1</v>
      </c>
      <c r="N56">
        <f>IF($E56 = 1,ROUND(SUM(recreation_claude_v2_5!N56,recreation_claude_v2_4!N56,recreation_claude_v2_3!N56,recreation_claude_v2_2!N56,recreation_claude_v2_1!N56)/COUNT(recreation_claude_v2_5!N56,recreation_claude_v2_4!N56,recreation_claude_v2_3!N56,recreation_claude_v2_2!N56,recreation_claude_v2_1!N56),0),"NA")</f>
        <v>1</v>
      </c>
      <c r="O56">
        <f>IF($E56 = 1,ROUND(SUM(recreation_claude_v2_5!O56,recreation_claude_v2_4!O56,recreation_claude_v2_3!O56,recreation_claude_v2_2!O56,recreation_claude_v2_1!O56)/COUNT(recreation_claude_v2_5!O56,recreation_claude_v2_4!O56,recreation_claude_v2_3!O56,recreation_claude_v2_2!O56,recreation_claude_v2_1!O56),0),"NA")</f>
        <v>1</v>
      </c>
    </row>
    <row r="57" spans="1:15" x14ac:dyDescent="0.25">
      <c r="A57" t="s">
        <v>92</v>
      </c>
      <c r="B57" t="s">
        <v>26</v>
      </c>
      <c r="C57">
        <v>0</v>
      </c>
      <c r="D57">
        <v>2.973354578018188</v>
      </c>
      <c r="E57">
        <f>ROUND(SUM(recreation_claude_v2_5!E57,recreation_claude_v2_4!E57,recreation_claude_v2_3!E57,recreation_claude_v2_2!E57,recreation_claude_v2_1!E57)/COUNT(recreation_claude_v2_5!E57,recreation_claude_v2_4!E57,recreation_claude_v2_3!E57,recreation_claude_v2_2!E57,recreation_claude_v2_1!E57),0)</f>
        <v>1</v>
      </c>
      <c r="F57">
        <f>IF($E57 = 1,ROUND(SUM(recreation_claude_v2_5!F57,recreation_claude_v2_4!F57,recreation_claude_v2_3!F57,recreation_claude_v2_2!F57,recreation_claude_v2_1!F57)/COUNT(recreation_claude_v2_5!F57,recreation_claude_v2_4!F57,recreation_claude_v2_3!F57,recreation_claude_v2_2!F57,recreation_claude_v2_1!F57),0),"NA")</f>
        <v>1</v>
      </c>
      <c r="G57">
        <f>IF($E57 = 1,ROUND(SUM(recreation_claude_v2_5!G57,recreation_claude_v2_4!G57,recreation_claude_v2_3!G57,recreation_claude_v2_2!G57,recreation_claude_v2_1!G57)/COUNT(recreation_claude_v2_5!G57,recreation_claude_v2_4!G57,recreation_claude_v2_3!G57,recreation_claude_v2_2!G57,recreation_claude_v2_1!G57),0),"NA")</f>
        <v>1</v>
      </c>
      <c r="H57">
        <f>IF($E57 = 1,ROUND(SUM(recreation_claude_v2_5!I57,recreation_claude_v2_4!I57,recreation_claude_v2_3!I57,recreation_claude_v2_2!I57,recreation_claude_v2_1!I57)/COUNT(recreation_claude_v2_5!I57,recreation_claude_v2_4!I57,recreation_claude_v2_3!I57,recreation_claude_v2_2!I57,recreation_claude_v2_1!I57),0),"NA")</f>
        <v>1</v>
      </c>
      <c r="I57">
        <f>IF($F57 = 1,ROUND(SUM(recreation_claude_v2_5!J57,recreation_claude_v2_4!J57,recreation_claude_v2_3!J57,recreation_claude_v2_2!J57,recreation_claude_v2_1!J57)/COUNT(recreation_claude_v2_5!J57,recreation_claude_v2_4!J57,recreation_claude_v2_3!J57,recreation_claude_v2_2!J57,recreation_claude_v2_1!J57),0),"NA")</f>
        <v>1</v>
      </c>
      <c r="J57">
        <f>IF($E57 = 1,ROUND(SUM(recreation_claude_v2_5!K57,recreation_claude_v2_4!K57,recreation_claude_v2_3!K57,recreation_claude_v2_2!K57,recreation_claude_v2_1!K57)/COUNT(recreation_claude_v2_5!K57,recreation_claude_v2_4!K57,recreation_claude_v2_3!K57,recreation_claude_v2_2!K57,recreation_claude_v2_1!K57),0),"NA")</f>
        <v>1</v>
      </c>
      <c r="K57">
        <f>IF(AND($F57 = 1, $G57 = 1),ROUND(SUM(recreation_claude_v2_5!L57,recreation_claude_v2_4!L57,recreation_claude_v2_3!L57,recreation_claude_v2_2!L57,recreation_claude_v2_1!L57)/COUNT(recreation_claude_v2_5!L57,recreation_claude_v2_4!L57,recreation_claude_v2_3!L57,recreation_claude_v2_2!L57,recreation_claude_v2_1!L57),0),"NA")</f>
        <v>1</v>
      </c>
      <c r="L57">
        <f>IF($E57 = 1,ROUND(SUM(recreation_claude_v2_5!L57,recreation_claude_v2_4!L57,recreation_claude_v2_3!L57,recreation_claude_v2_2!L57,recreation_claude_v2_1!L57)/COUNT(recreation_claude_v2_5!L57,recreation_claude_v2_4!L57,recreation_claude_v2_3!L57,recreation_claude_v2_2!L57,recreation_claude_v2_1!L57),0),"NA")</f>
        <v>1</v>
      </c>
      <c r="M57">
        <f>IF($E57 = 1,ROUND(SUM(recreation_claude_v2_5!M57,recreation_claude_v2_4!M57,recreation_claude_v2_3!M57,recreation_claude_v2_2!M57,recreation_claude_v2_1!M57)/COUNT(recreation_claude_v2_5!M57,recreation_claude_v2_4!M57,recreation_claude_v2_3!M57,recreation_claude_v2_2!M57,recreation_claude_v2_1!M57),0),"NA")</f>
        <v>1</v>
      </c>
      <c r="N57">
        <f>IF($E57 = 1,ROUND(SUM(recreation_claude_v2_5!N57,recreation_claude_v2_4!N57,recreation_claude_v2_3!N57,recreation_claude_v2_2!N57,recreation_claude_v2_1!N57)/COUNT(recreation_claude_v2_5!N57,recreation_claude_v2_4!N57,recreation_claude_v2_3!N57,recreation_claude_v2_2!N57,recreation_claude_v2_1!N57),0),"NA")</f>
        <v>1</v>
      </c>
      <c r="O57">
        <f>IF($E57 = 1,ROUND(SUM(recreation_claude_v2_5!O57,recreation_claude_v2_4!O57,recreation_claude_v2_3!O57,recreation_claude_v2_2!O57,recreation_claude_v2_1!O57)/COUNT(recreation_claude_v2_5!O57,recreation_claude_v2_4!O57,recreation_claude_v2_3!O57,recreation_claude_v2_2!O57,recreation_claude_v2_1!O57),0),"NA")</f>
        <v>1</v>
      </c>
    </row>
    <row r="58" spans="1:15" x14ac:dyDescent="0.25">
      <c r="A58" t="s">
        <v>92</v>
      </c>
      <c r="B58" t="s">
        <v>27</v>
      </c>
      <c r="C58">
        <v>0</v>
      </c>
      <c r="D58">
        <v>4.5747296810150146</v>
      </c>
      <c r="E58">
        <f>ROUND(SUM(recreation_claude_v2_5!E58,recreation_claude_v2_4!E58,recreation_claude_v2_3!E58,recreation_claude_v2_2!E58,recreation_claude_v2_1!E58)/COUNT(recreation_claude_v2_5!E58,recreation_claude_v2_4!E58,recreation_claude_v2_3!E58,recreation_claude_v2_2!E58,recreation_claude_v2_1!E58),0)</f>
        <v>1</v>
      </c>
      <c r="F58">
        <f>IF($E58 = 1,ROUND(SUM(recreation_claude_v2_5!F58,recreation_claude_v2_4!F58,recreation_claude_v2_3!F58,recreation_claude_v2_2!F58,recreation_claude_v2_1!F58)/COUNT(recreation_claude_v2_5!F58,recreation_claude_v2_4!F58,recreation_claude_v2_3!F58,recreation_claude_v2_2!F58,recreation_claude_v2_1!F58),0),"NA")</f>
        <v>1</v>
      </c>
      <c r="G58">
        <f>IF($E58 = 1,ROUND(SUM(recreation_claude_v2_5!G58,recreation_claude_v2_4!G58,recreation_claude_v2_3!G58,recreation_claude_v2_2!G58,recreation_claude_v2_1!G58)/COUNT(recreation_claude_v2_5!G58,recreation_claude_v2_4!G58,recreation_claude_v2_3!G58,recreation_claude_v2_2!G58,recreation_claude_v2_1!G58),0),"NA")</f>
        <v>1</v>
      </c>
      <c r="H58">
        <f>IF($E58 = 1,ROUND(SUM(recreation_claude_v2_5!I58,recreation_claude_v2_4!I58,recreation_claude_v2_3!I58,recreation_claude_v2_2!I58,recreation_claude_v2_1!I58)/COUNT(recreation_claude_v2_5!I58,recreation_claude_v2_4!I58,recreation_claude_v2_3!I58,recreation_claude_v2_2!I58,recreation_claude_v2_1!I58),0),"NA")</f>
        <v>1</v>
      </c>
      <c r="I58">
        <f>IF($F58 = 1,ROUND(SUM(recreation_claude_v2_5!J58,recreation_claude_v2_4!J58,recreation_claude_v2_3!J58,recreation_claude_v2_2!J58,recreation_claude_v2_1!J58)/COUNT(recreation_claude_v2_5!J58,recreation_claude_v2_4!J58,recreation_claude_v2_3!J58,recreation_claude_v2_2!J58,recreation_claude_v2_1!J58),0),"NA")</f>
        <v>0</v>
      </c>
      <c r="J58">
        <f>IF($E58 = 1,ROUND(SUM(recreation_claude_v2_5!K58,recreation_claude_v2_4!K58,recreation_claude_v2_3!K58,recreation_claude_v2_2!K58,recreation_claude_v2_1!K58)/COUNT(recreation_claude_v2_5!K58,recreation_claude_v2_4!K58,recreation_claude_v2_3!K58,recreation_claude_v2_2!K58,recreation_claude_v2_1!K58),0),"NA")</f>
        <v>1</v>
      </c>
      <c r="K58">
        <f>IF(AND($F58 = 1, $G58 = 1),ROUND(SUM(recreation_claude_v2_5!L58,recreation_claude_v2_4!L58,recreation_claude_v2_3!L58,recreation_claude_v2_2!L58,recreation_claude_v2_1!L58)/COUNT(recreation_claude_v2_5!L58,recreation_claude_v2_4!L58,recreation_claude_v2_3!L58,recreation_claude_v2_2!L58,recreation_claude_v2_1!L58),0),"NA")</f>
        <v>1</v>
      </c>
      <c r="L58">
        <f>IF($E58 = 1,ROUND(SUM(recreation_claude_v2_5!L58,recreation_claude_v2_4!L58,recreation_claude_v2_3!L58,recreation_claude_v2_2!L58,recreation_claude_v2_1!L58)/COUNT(recreation_claude_v2_5!L58,recreation_claude_v2_4!L58,recreation_claude_v2_3!L58,recreation_claude_v2_2!L58,recreation_claude_v2_1!L58),0),"NA")</f>
        <v>1</v>
      </c>
      <c r="M58">
        <f>IF($E58 = 1,ROUND(SUM(recreation_claude_v2_5!M58,recreation_claude_v2_4!M58,recreation_claude_v2_3!M58,recreation_claude_v2_2!M58,recreation_claude_v2_1!M58)/COUNT(recreation_claude_v2_5!M58,recreation_claude_v2_4!M58,recreation_claude_v2_3!M58,recreation_claude_v2_2!M58,recreation_claude_v2_1!M58),0),"NA")</f>
        <v>1</v>
      </c>
      <c r="N58">
        <f>IF($E58 = 1,ROUND(SUM(recreation_claude_v2_5!N58,recreation_claude_v2_4!N58,recreation_claude_v2_3!N58,recreation_claude_v2_2!N58,recreation_claude_v2_1!N58)/COUNT(recreation_claude_v2_5!N58,recreation_claude_v2_4!N58,recreation_claude_v2_3!N58,recreation_claude_v2_2!N58,recreation_claude_v2_1!N58),0),"NA")</f>
        <v>1</v>
      </c>
      <c r="O58">
        <f>IF($E58 = 1,ROUND(SUM(recreation_claude_v2_5!O58,recreation_claude_v2_4!O58,recreation_claude_v2_3!O58,recreation_claude_v2_2!O58,recreation_claude_v2_1!O58)/COUNT(recreation_claude_v2_5!O58,recreation_claude_v2_4!O58,recreation_claude_v2_3!O58,recreation_claude_v2_2!O58,recreation_claude_v2_1!O58),0),"NA")</f>
        <v>1</v>
      </c>
    </row>
    <row r="59" spans="1:15" x14ac:dyDescent="0.25">
      <c r="A59" t="s">
        <v>92</v>
      </c>
      <c r="B59" t="s">
        <v>28</v>
      </c>
      <c r="C59">
        <v>0</v>
      </c>
      <c r="D59">
        <v>10.268668651580811</v>
      </c>
      <c r="E59">
        <f>ROUND(SUM(recreation_claude_v2_5!E59,recreation_claude_v2_4!E59,recreation_claude_v2_3!E59,recreation_claude_v2_2!E59,recreation_claude_v2_1!E59)/COUNT(recreation_claude_v2_5!E59,recreation_claude_v2_4!E59,recreation_claude_v2_3!E59,recreation_claude_v2_2!E59,recreation_claude_v2_1!E59),0)</f>
        <v>1</v>
      </c>
      <c r="F59">
        <f>IF($E59 = 1,ROUND(SUM(recreation_claude_v2_5!F59,recreation_claude_v2_4!F59,recreation_claude_v2_3!F59,recreation_claude_v2_2!F59,recreation_claude_v2_1!F59)/COUNT(recreation_claude_v2_5!F59,recreation_claude_v2_4!F59,recreation_claude_v2_3!F59,recreation_claude_v2_2!F59,recreation_claude_v2_1!F59),0),"NA")</f>
        <v>1</v>
      </c>
      <c r="G59">
        <f>IF($E59 = 1,ROUND(SUM(recreation_claude_v2_5!G59,recreation_claude_v2_4!G59,recreation_claude_v2_3!G59,recreation_claude_v2_2!G59,recreation_claude_v2_1!G59)/COUNT(recreation_claude_v2_5!G59,recreation_claude_v2_4!G59,recreation_claude_v2_3!G59,recreation_claude_v2_2!G59,recreation_claude_v2_1!G59),0),"NA")</f>
        <v>1</v>
      </c>
      <c r="H59">
        <f>IF($E59 = 1,ROUND(SUM(recreation_claude_v2_5!I59,recreation_claude_v2_4!I59,recreation_claude_v2_3!I59,recreation_claude_v2_2!I59,recreation_claude_v2_1!I59)/COUNT(recreation_claude_v2_5!I59,recreation_claude_v2_4!I59,recreation_claude_v2_3!I59,recreation_claude_v2_2!I59,recreation_claude_v2_1!I59),0),"NA")</f>
        <v>1</v>
      </c>
      <c r="I59">
        <f>IF($F59 = 1,ROUND(SUM(recreation_claude_v2_5!J59,recreation_claude_v2_4!J59,recreation_claude_v2_3!J59,recreation_claude_v2_2!J59,recreation_claude_v2_1!J59)/COUNT(recreation_claude_v2_5!J59,recreation_claude_v2_4!J59,recreation_claude_v2_3!J59,recreation_claude_v2_2!J59,recreation_claude_v2_1!J59),0),"NA")</f>
        <v>1</v>
      </c>
      <c r="J59">
        <f>IF($E59 = 1,ROUND(SUM(recreation_claude_v2_5!K59,recreation_claude_v2_4!K59,recreation_claude_v2_3!K59,recreation_claude_v2_2!K59,recreation_claude_v2_1!K59)/COUNT(recreation_claude_v2_5!K59,recreation_claude_v2_4!K59,recreation_claude_v2_3!K59,recreation_claude_v2_2!K59,recreation_claude_v2_1!K59),0),"NA")</f>
        <v>1</v>
      </c>
      <c r="K59">
        <f>IF(AND($F59 = 1, $G59 = 1),ROUND(SUM(recreation_claude_v2_5!L59,recreation_claude_v2_4!L59,recreation_claude_v2_3!L59,recreation_claude_v2_2!L59,recreation_claude_v2_1!L59)/COUNT(recreation_claude_v2_5!L59,recreation_claude_v2_4!L59,recreation_claude_v2_3!L59,recreation_claude_v2_2!L59,recreation_claude_v2_1!L59),0),"NA")</f>
        <v>1</v>
      </c>
      <c r="L59">
        <f>IF($E59 = 1,ROUND(SUM(recreation_claude_v2_5!L59,recreation_claude_v2_4!L59,recreation_claude_v2_3!L59,recreation_claude_v2_2!L59,recreation_claude_v2_1!L59)/COUNT(recreation_claude_v2_5!L59,recreation_claude_v2_4!L59,recreation_claude_v2_3!L59,recreation_claude_v2_2!L59,recreation_claude_v2_1!L59),0),"NA")</f>
        <v>1</v>
      </c>
      <c r="M59">
        <f>IF($E59 = 1,ROUND(SUM(recreation_claude_v2_5!M59,recreation_claude_v2_4!M59,recreation_claude_v2_3!M59,recreation_claude_v2_2!M59,recreation_claude_v2_1!M59)/COUNT(recreation_claude_v2_5!M59,recreation_claude_v2_4!M59,recreation_claude_v2_3!M59,recreation_claude_v2_2!M59,recreation_claude_v2_1!M59),0),"NA")</f>
        <v>1</v>
      </c>
      <c r="N59">
        <f>IF($E59 = 1,ROUND(SUM(recreation_claude_v2_5!N59,recreation_claude_v2_4!N59,recreation_claude_v2_3!N59,recreation_claude_v2_2!N59,recreation_claude_v2_1!N59)/COUNT(recreation_claude_v2_5!N59,recreation_claude_v2_4!N59,recreation_claude_v2_3!N59,recreation_claude_v2_2!N59,recreation_claude_v2_1!N59),0),"NA")</f>
        <v>1</v>
      </c>
      <c r="O59">
        <f>IF($E59 = 1,ROUND(SUM(recreation_claude_v2_5!O59,recreation_claude_v2_4!O59,recreation_claude_v2_3!O59,recreation_claude_v2_2!O59,recreation_claude_v2_1!O59)/COUNT(recreation_claude_v2_5!O59,recreation_claude_v2_4!O59,recreation_claude_v2_3!O59,recreation_claude_v2_2!O59,recreation_claude_v2_1!O59),0),"NA")</f>
        <v>1</v>
      </c>
    </row>
    <row r="60" spans="1:15" x14ac:dyDescent="0.25">
      <c r="A60" t="s">
        <v>92</v>
      </c>
      <c r="B60" t="s">
        <v>29</v>
      </c>
      <c r="C60">
        <v>0</v>
      </c>
      <c r="D60">
        <v>4.1870803833007813</v>
      </c>
      <c r="E60">
        <f>ROUND(SUM(recreation_claude_v2_5!E60,recreation_claude_v2_4!E60,recreation_claude_v2_3!E60,recreation_claude_v2_2!E60,recreation_claude_v2_1!E60)/COUNT(recreation_claude_v2_5!E60,recreation_claude_v2_4!E60,recreation_claude_v2_3!E60,recreation_claude_v2_2!E60,recreation_claude_v2_1!E60),0)</f>
        <v>1</v>
      </c>
      <c r="F60">
        <f>IF($E60 = 1,ROUND(SUM(recreation_claude_v2_5!F60,recreation_claude_v2_4!F60,recreation_claude_v2_3!F60,recreation_claude_v2_2!F60,recreation_claude_v2_1!F60)/COUNT(recreation_claude_v2_5!F60,recreation_claude_v2_4!F60,recreation_claude_v2_3!F60,recreation_claude_v2_2!F60,recreation_claude_v2_1!F60),0),"NA")</f>
        <v>1</v>
      </c>
      <c r="G60">
        <f>IF($E60 = 1,ROUND(SUM(recreation_claude_v2_5!G60,recreation_claude_v2_4!G60,recreation_claude_v2_3!G60,recreation_claude_v2_2!G60,recreation_claude_v2_1!G60)/COUNT(recreation_claude_v2_5!G60,recreation_claude_v2_4!G60,recreation_claude_v2_3!G60,recreation_claude_v2_2!G60,recreation_claude_v2_1!G60),0),"NA")</f>
        <v>1</v>
      </c>
      <c r="H60">
        <f>IF($E60 = 1,ROUND(SUM(recreation_claude_v2_5!I60,recreation_claude_v2_4!I60,recreation_claude_v2_3!I60,recreation_claude_v2_2!I60,recreation_claude_v2_1!I60)/COUNT(recreation_claude_v2_5!I60,recreation_claude_v2_4!I60,recreation_claude_v2_3!I60,recreation_claude_v2_2!I60,recreation_claude_v2_1!I60),0),"NA")</f>
        <v>1</v>
      </c>
      <c r="I60">
        <f>IF($F60 = 1,ROUND(SUM(recreation_claude_v2_5!J60,recreation_claude_v2_4!J60,recreation_claude_v2_3!J60,recreation_claude_v2_2!J60,recreation_claude_v2_1!J60)/COUNT(recreation_claude_v2_5!J60,recreation_claude_v2_4!J60,recreation_claude_v2_3!J60,recreation_claude_v2_2!J60,recreation_claude_v2_1!J60),0),"NA")</f>
        <v>1</v>
      </c>
      <c r="J60">
        <f>IF($E60 = 1,ROUND(SUM(recreation_claude_v2_5!K60,recreation_claude_v2_4!K60,recreation_claude_v2_3!K60,recreation_claude_v2_2!K60,recreation_claude_v2_1!K60)/COUNT(recreation_claude_v2_5!K60,recreation_claude_v2_4!K60,recreation_claude_v2_3!K60,recreation_claude_v2_2!K60,recreation_claude_v2_1!K60),0),"NA")</f>
        <v>0</v>
      </c>
      <c r="K60">
        <f>IF(AND($F60 = 1, $G60 = 1),ROUND(SUM(recreation_claude_v2_5!L60,recreation_claude_v2_4!L60,recreation_claude_v2_3!L60,recreation_claude_v2_2!L60,recreation_claude_v2_1!L60)/COUNT(recreation_claude_v2_5!L60,recreation_claude_v2_4!L60,recreation_claude_v2_3!L60,recreation_claude_v2_2!L60,recreation_claude_v2_1!L60),0),"NA")</f>
        <v>1</v>
      </c>
      <c r="L60">
        <f>IF($E60 = 1,ROUND(SUM(recreation_claude_v2_5!L60,recreation_claude_v2_4!L60,recreation_claude_v2_3!L60,recreation_claude_v2_2!L60,recreation_claude_v2_1!L60)/COUNT(recreation_claude_v2_5!L60,recreation_claude_v2_4!L60,recreation_claude_v2_3!L60,recreation_claude_v2_2!L60,recreation_claude_v2_1!L60),0),"NA")</f>
        <v>1</v>
      </c>
      <c r="M60">
        <f>IF($E60 = 1,ROUND(SUM(recreation_claude_v2_5!M60,recreation_claude_v2_4!M60,recreation_claude_v2_3!M60,recreation_claude_v2_2!M60,recreation_claude_v2_1!M60)/COUNT(recreation_claude_v2_5!M60,recreation_claude_v2_4!M60,recreation_claude_v2_3!M60,recreation_claude_v2_2!M60,recreation_claude_v2_1!M60),0),"NA")</f>
        <v>1</v>
      </c>
      <c r="N60">
        <f>IF($E60 = 1,ROUND(SUM(recreation_claude_v2_5!N60,recreation_claude_v2_4!N60,recreation_claude_v2_3!N60,recreation_claude_v2_2!N60,recreation_claude_v2_1!N60)/COUNT(recreation_claude_v2_5!N60,recreation_claude_v2_4!N60,recreation_claude_v2_3!N60,recreation_claude_v2_2!N60,recreation_claude_v2_1!N60),0),"NA")</f>
        <v>1</v>
      </c>
      <c r="O60">
        <f>IF($E60 = 1,ROUND(SUM(recreation_claude_v2_5!O60,recreation_claude_v2_4!O60,recreation_claude_v2_3!O60,recreation_claude_v2_2!O60,recreation_claude_v2_1!O60)/COUNT(recreation_claude_v2_5!O60,recreation_claude_v2_4!O60,recreation_claude_v2_3!O60,recreation_claude_v2_2!O60,recreation_claude_v2_1!O60),0),"NA")</f>
        <v>1</v>
      </c>
    </row>
    <row r="61" spans="1:15" x14ac:dyDescent="0.25">
      <c r="A61" t="s">
        <v>92</v>
      </c>
      <c r="B61" t="s">
        <v>30</v>
      </c>
      <c r="C61">
        <v>0</v>
      </c>
      <c r="D61">
        <v>10.51493501663208</v>
      </c>
      <c r="E61">
        <f>ROUND(SUM(recreation_claude_v2_5!E61,recreation_claude_v2_4!E61,recreation_claude_v2_3!E61,recreation_claude_v2_2!E61,recreation_claude_v2_1!E61)/COUNT(recreation_claude_v2_5!E61,recreation_claude_v2_4!E61,recreation_claude_v2_3!E61,recreation_claude_v2_2!E61,recreation_claude_v2_1!E61),0)</f>
        <v>1</v>
      </c>
      <c r="F61">
        <f>IF($E61 = 1,ROUND(SUM(recreation_claude_v2_5!F61,recreation_claude_v2_4!F61,recreation_claude_v2_3!F61,recreation_claude_v2_2!F61,recreation_claude_v2_1!F61)/COUNT(recreation_claude_v2_5!F61,recreation_claude_v2_4!F61,recreation_claude_v2_3!F61,recreation_claude_v2_2!F61,recreation_claude_v2_1!F61),0),"NA")</f>
        <v>1</v>
      </c>
      <c r="G61">
        <f>IF($E61 = 1,ROUND(SUM(recreation_claude_v2_5!G61,recreation_claude_v2_4!G61,recreation_claude_v2_3!G61,recreation_claude_v2_2!G61,recreation_claude_v2_1!G61)/COUNT(recreation_claude_v2_5!G61,recreation_claude_v2_4!G61,recreation_claude_v2_3!G61,recreation_claude_v2_2!G61,recreation_claude_v2_1!G61),0),"NA")</f>
        <v>1</v>
      </c>
      <c r="H61">
        <f>IF($E61 = 1,ROUND(SUM(recreation_claude_v2_5!I61,recreation_claude_v2_4!I61,recreation_claude_v2_3!I61,recreation_claude_v2_2!I61,recreation_claude_v2_1!I61)/COUNT(recreation_claude_v2_5!I61,recreation_claude_v2_4!I61,recreation_claude_v2_3!I61,recreation_claude_v2_2!I61,recreation_claude_v2_1!I61),0),"NA")</f>
        <v>1</v>
      </c>
      <c r="I61">
        <f>IF($F61 = 1,ROUND(SUM(recreation_claude_v2_5!J61,recreation_claude_v2_4!J61,recreation_claude_v2_3!J61,recreation_claude_v2_2!J61,recreation_claude_v2_1!J61)/COUNT(recreation_claude_v2_5!J61,recreation_claude_v2_4!J61,recreation_claude_v2_3!J61,recreation_claude_v2_2!J61,recreation_claude_v2_1!J61),0),"NA")</f>
        <v>1</v>
      </c>
      <c r="J61">
        <f>IF($E61 = 1,ROUND(SUM(recreation_claude_v2_5!K61,recreation_claude_v2_4!K61,recreation_claude_v2_3!K61,recreation_claude_v2_2!K61,recreation_claude_v2_1!K61)/COUNT(recreation_claude_v2_5!K61,recreation_claude_v2_4!K61,recreation_claude_v2_3!K61,recreation_claude_v2_2!K61,recreation_claude_v2_1!K61),0),"NA")</f>
        <v>1</v>
      </c>
      <c r="K61">
        <f>IF(AND($F61 = 1, $G61 = 1),ROUND(SUM(recreation_claude_v2_5!L61,recreation_claude_v2_4!L61,recreation_claude_v2_3!L61,recreation_claude_v2_2!L61,recreation_claude_v2_1!L61)/COUNT(recreation_claude_v2_5!L61,recreation_claude_v2_4!L61,recreation_claude_v2_3!L61,recreation_claude_v2_2!L61,recreation_claude_v2_1!L61),0),"NA")</f>
        <v>1</v>
      </c>
      <c r="L61">
        <f>IF($E61 = 1,ROUND(SUM(recreation_claude_v2_5!L61,recreation_claude_v2_4!L61,recreation_claude_v2_3!L61,recreation_claude_v2_2!L61,recreation_claude_v2_1!L61)/COUNT(recreation_claude_v2_5!L61,recreation_claude_v2_4!L61,recreation_claude_v2_3!L61,recreation_claude_v2_2!L61,recreation_claude_v2_1!L61),0),"NA")</f>
        <v>1</v>
      </c>
      <c r="M61">
        <f>IF($E61 = 1,ROUND(SUM(recreation_claude_v2_5!M61,recreation_claude_v2_4!M61,recreation_claude_v2_3!M61,recreation_claude_v2_2!M61,recreation_claude_v2_1!M61)/COUNT(recreation_claude_v2_5!M61,recreation_claude_v2_4!M61,recreation_claude_v2_3!M61,recreation_claude_v2_2!M61,recreation_claude_v2_1!M61),0),"NA")</f>
        <v>1</v>
      </c>
      <c r="N61">
        <f>IF($E61 = 1,ROUND(SUM(recreation_claude_v2_5!N61,recreation_claude_v2_4!N61,recreation_claude_v2_3!N61,recreation_claude_v2_2!N61,recreation_claude_v2_1!N61)/COUNT(recreation_claude_v2_5!N61,recreation_claude_v2_4!N61,recreation_claude_v2_3!N61,recreation_claude_v2_2!N61,recreation_claude_v2_1!N61),0),"NA")</f>
        <v>1</v>
      </c>
      <c r="O61">
        <f>IF($E61 = 1,ROUND(SUM(recreation_claude_v2_5!O61,recreation_claude_v2_4!O61,recreation_claude_v2_3!O61,recreation_claude_v2_2!O61,recreation_claude_v2_1!O61)/COUNT(recreation_claude_v2_5!O61,recreation_claude_v2_4!O61,recreation_claude_v2_3!O61,recreation_claude_v2_2!O61,recreation_claude_v2_1!O61),0),"NA")</f>
        <v>1</v>
      </c>
    </row>
    <row r="62" spans="1:15" x14ac:dyDescent="0.25">
      <c r="A62" t="s">
        <v>92</v>
      </c>
      <c r="B62" t="s">
        <v>32</v>
      </c>
      <c r="C62">
        <v>0</v>
      </c>
      <c r="D62">
        <v>10.42229056358337</v>
      </c>
      <c r="E62">
        <f>ROUND(SUM(recreation_claude_v2_5!E62,recreation_claude_v2_4!E62,recreation_claude_v2_3!E62,recreation_claude_v2_2!E62,recreation_claude_v2_1!E62)/COUNT(recreation_claude_v2_5!E62,recreation_claude_v2_4!E62,recreation_claude_v2_3!E62,recreation_claude_v2_2!E62,recreation_claude_v2_1!E62),0)</f>
        <v>1</v>
      </c>
      <c r="F62">
        <f>IF($E62 = 1,ROUND(SUM(recreation_claude_v2_5!F62,recreation_claude_v2_4!F62,recreation_claude_v2_3!F62,recreation_claude_v2_2!F62,recreation_claude_v2_1!F62)/COUNT(recreation_claude_v2_5!F62,recreation_claude_v2_4!F62,recreation_claude_v2_3!F62,recreation_claude_v2_2!F62,recreation_claude_v2_1!F62),0),"NA")</f>
        <v>1</v>
      </c>
      <c r="G62">
        <f>IF($E62 = 1,ROUND(SUM(recreation_claude_v2_5!G62,recreation_claude_v2_4!G62,recreation_claude_v2_3!G62,recreation_claude_v2_2!G62,recreation_claude_v2_1!G62)/COUNT(recreation_claude_v2_5!G62,recreation_claude_v2_4!G62,recreation_claude_v2_3!G62,recreation_claude_v2_2!G62,recreation_claude_v2_1!G62),0),"NA")</f>
        <v>1</v>
      </c>
      <c r="H62">
        <f>IF($E62 = 1,ROUND(SUM(recreation_claude_v2_5!I62,recreation_claude_v2_4!I62,recreation_claude_v2_3!I62,recreation_claude_v2_2!I62,recreation_claude_v2_1!I62)/COUNT(recreation_claude_v2_5!I62,recreation_claude_v2_4!I62,recreation_claude_v2_3!I62,recreation_claude_v2_2!I62,recreation_claude_v2_1!I62),0),"NA")</f>
        <v>1</v>
      </c>
      <c r="I62">
        <f>IF($F62 = 1,ROUND(SUM(recreation_claude_v2_5!J62,recreation_claude_v2_4!J62,recreation_claude_v2_3!J62,recreation_claude_v2_2!J62,recreation_claude_v2_1!J62)/COUNT(recreation_claude_v2_5!J62,recreation_claude_v2_4!J62,recreation_claude_v2_3!J62,recreation_claude_v2_2!J62,recreation_claude_v2_1!J62),0),"NA")</f>
        <v>1</v>
      </c>
      <c r="J62">
        <f>IF($E62 = 1,ROUND(SUM(recreation_claude_v2_5!K62,recreation_claude_v2_4!K62,recreation_claude_v2_3!K62,recreation_claude_v2_2!K62,recreation_claude_v2_1!K62)/COUNT(recreation_claude_v2_5!K62,recreation_claude_v2_4!K62,recreation_claude_v2_3!K62,recreation_claude_v2_2!K62,recreation_claude_v2_1!K62),0),"NA")</f>
        <v>1</v>
      </c>
      <c r="K62">
        <f>IF(AND($F62 = 1, $G62 = 1),ROUND(SUM(recreation_claude_v2_5!L62,recreation_claude_v2_4!L62,recreation_claude_v2_3!L62,recreation_claude_v2_2!L62,recreation_claude_v2_1!L62)/COUNT(recreation_claude_v2_5!L62,recreation_claude_v2_4!L62,recreation_claude_v2_3!L62,recreation_claude_v2_2!L62,recreation_claude_v2_1!L62),0),"NA")</f>
        <v>1</v>
      </c>
      <c r="L62">
        <f>IF($E62 = 1,ROUND(SUM(recreation_claude_v2_5!L62,recreation_claude_v2_4!L62,recreation_claude_v2_3!L62,recreation_claude_v2_2!L62,recreation_claude_v2_1!L62)/COUNT(recreation_claude_v2_5!L62,recreation_claude_v2_4!L62,recreation_claude_v2_3!L62,recreation_claude_v2_2!L62,recreation_claude_v2_1!L62),0),"NA")</f>
        <v>1</v>
      </c>
      <c r="M62">
        <f>IF($E62 = 1,ROUND(SUM(recreation_claude_v2_5!M62,recreation_claude_v2_4!M62,recreation_claude_v2_3!M62,recreation_claude_v2_2!M62,recreation_claude_v2_1!M62)/COUNT(recreation_claude_v2_5!M62,recreation_claude_v2_4!M62,recreation_claude_v2_3!M62,recreation_claude_v2_2!M62,recreation_claude_v2_1!M62),0),"NA")</f>
        <v>1</v>
      </c>
      <c r="N62">
        <f>IF($E62 = 1,ROUND(SUM(recreation_claude_v2_5!N62,recreation_claude_v2_4!N62,recreation_claude_v2_3!N62,recreation_claude_v2_2!N62,recreation_claude_v2_1!N62)/COUNT(recreation_claude_v2_5!N62,recreation_claude_v2_4!N62,recreation_claude_v2_3!N62,recreation_claude_v2_2!N62,recreation_claude_v2_1!N62),0),"NA")</f>
        <v>1</v>
      </c>
      <c r="O62">
        <f>IF($E62 = 1,ROUND(SUM(recreation_claude_v2_5!O62,recreation_claude_v2_4!O62,recreation_claude_v2_3!O62,recreation_claude_v2_2!O62,recreation_claude_v2_1!O62)/COUNT(recreation_claude_v2_5!O62,recreation_claude_v2_4!O62,recreation_claude_v2_3!O62,recreation_claude_v2_2!O62,recreation_claude_v2_1!O62),0),"NA")</f>
        <v>1</v>
      </c>
    </row>
    <row r="63" spans="1:15" x14ac:dyDescent="0.25">
      <c r="A63" t="s">
        <v>92</v>
      </c>
      <c r="B63" t="s">
        <v>33</v>
      </c>
      <c r="C63">
        <v>0</v>
      </c>
      <c r="D63">
        <v>2.9143412113189702</v>
      </c>
      <c r="E63">
        <f>ROUND(SUM(recreation_claude_v2_5!E63,recreation_claude_v2_4!E63,recreation_claude_v2_3!E63,recreation_claude_v2_2!E63,recreation_claude_v2_1!E63)/COUNT(recreation_claude_v2_5!E63,recreation_claude_v2_4!E63,recreation_claude_v2_3!E63,recreation_claude_v2_2!E63,recreation_claude_v2_1!E63),0)</f>
        <v>1</v>
      </c>
      <c r="F63">
        <f>IF($E63 = 1,ROUND(SUM(recreation_claude_v2_5!F63,recreation_claude_v2_4!F63,recreation_claude_v2_3!F63,recreation_claude_v2_2!F63,recreation_claude_v2_1!F63)/COUNT(recreation_claude_v2_5!F63,recreation_claude_v2_4!F63,recreation_claude_v2_3!F63,recreation_claude_v2_2!F63,recreation_claude_v2_1!F63),0),"NA")</f>
        <v>1</v>
      </c>
      <c r="G63">
        <f>IF($E63 = 1,ROUND(SUM(recreation_claude_v2_5!G63,recreation_claude_v2_4!G63,recreation_claude_v2_3!G63,recreation_claude_v2_2!G63,recreation_claude_v2_1!G63)/COUNT(recreation_claude_v2_5!G63,recreation_claude_v2_4!G63,recreation_claude_v2_3!G63,recreation_claude_v2_2!G63,recreation_claude_v2_1!G63),0),"NA")</f>
        <v>1</v>
      </c>
      <c r="H63">
        <f>IF($E63 = 1,ROUND(SUM(recreation_claude_v2_5!I63,recreation_claude_v2_4!I63,recreation_claude_v2_3!I63,recreation_claude_v2_2!I63,recreation_claude_v2_1!I63)/COUNT(recreation_claude_v2_5!I63,recreation_claude_v2_4!I63,recreation_claude_v2_3!I63,recreation_claude_v2_2!I63,recreation_claude_v2_1!I63),0),"NA")</f>
        <v>1</v>
      </c>
      <c r="I63">
        <f>IF($F63 = 1,ROUND(SUM(recreation_claude_v2_5!J63,recreation_claude_v2_4!J63,recreation_claude_v2_3!J63,recreation_claude_v2_2!J63,recreation_claude_v2_1!J63)/COUNT(recreation_claude_v2_5!J63,recreation_claude_v2_4!J63,recreation_claude_v2_3!J63,recreation_claude_v2_2!J63,recreation_claude_v2_1!J63),0),"NA")</f>
        <v>1</v>
      </c>
      <c r="J63">
        <f>IF($E63 = 1,ROUND(SUM(recreation_claude_v2_5!K63,recreation_claude_v2_4!K63,recreation_claude_v2_3!K63,recreation_claude_v2_2!K63,recreation_claude_v2_1!K63)/COUNT(recreation_claude_v2_5!K63,recreation_claude_v2_4!K63,recreation_claude_v2_3!K63,recreation_claude_v2_2!K63,recreation_claude_v2_1!K63),0),"NA")</f>
        <v>1</v>
      </c>
      <c r="K63">
        <f>IF(AND($F63 = 1, $G63 = 1),ROUND(SUM(recreation_claude_v2_5!L63,recreation_claude_v2_4!L63,recreation_claude_v2_3!L63,recreation_claude_v2_2!L63,recreation_claude_v2_1!L63)/COUNT(recreation_claude_v2_5!L63,recreation_claude_v2_4!L63,recreation_claude_v2_3!L63,recreation_claude_v2_2!L63,recreation_claude_v2_1!L63),0),"NA")</f>
        <v>1</v>
      </c>
      <c r="L63">
        <f>IF($E63 = 1,ROUND(SUM(recreation_claude_v2_5!L63,recreation_claude_v2_4!L63,recreation_claude_v2_3!L63,recreation_claude_v2_2!L63,recreation_claude_v2_1!L63)/COUNT(recreation_claude_v2_5!L63,recreation_claude_v2_4!L63,recreation_claude_v2_3!L63,recreation_claude_v2_2!L63,recreation_claude_v2_1!L63),0),"NA")</f>
        <v>1</v>
      </c>
      <c r="M63">
        <f>IF($E63 = 1,ROUND(SUM(recreation_claude_v2_5!M63,recreation_claude_v2_4!M63,recreation_claude_v2_3!M63,recreation_claude_v2_2!M63,recreation_claude_v2_1!M63)/COUNT(recreation_claude_v2_5!M63,recreation_claude_v2_4!M63,recreation_claude_v2_3!M63,recreation_claude_v2_2!M63,recreation_claude_v2_1!M63),0),"NA")</f>
        <v>1</v>
      </c>
      <c r="N63">
        <f>IF($E63 = 1,ROUND(SUM(recreation_claude_v2_5!N63,recreation_claude_v2_4!N63,recreation_claude_v2_3!N63,recreation_claude_v2_2!N63,recreation_claude_v2_1!N63)/COUNT(recreation_claude_v2_5!N63,recreation_claude_v2_4!N63,recreation_claude_v2_3!N63,recreation_claude_v2_2!N63,recreation_claude_v2_1!N63),0),"NA")</f>
        <v>1</v>
      </c>
      <c r="O63">
        <f>IF($E63 = 1,ROUND(SUM(recreation_claude_v2_5!O63,recreation_claude_v2_4!O63,recreation_claude_v2_3!O63,recreation_claude_v2_2!O63,recreation_claude_v2_1!O63)/COUNT(recreation_claude_v2_5!O63,recreation_claude_v2_4!O63,recreation_claude_v2_3!O63,recreation_claude_v2_2!O63,recreation_claude_v2_1!O63),0),"NA")</f>
        <v>1</v>
      </c>
    </row>
    <row r="64" spans="1:15" x14ac:dyDescent="0.25">
      <c r="A64" t="s">
        <v>92</v>
      </c>
      <c r="B64" t="s">
        <v>35</v>
      </c>
      <c r="C64">
        <v>0</v>
      </c>
      <c r="D64">
        <v>6.4166686534881592</v>
      </c>
      <c r="E64">
        <f>ROUND(SUM(recreation_claude_v2_5!E64,recreation_claude_v2_4!E64,recreation_claude_v2_3!E64,recreation_claude_v2_2!E64,recreation_claude_v2_1!E64)/COUNT(recreation_claude_v2_5!E64,recreation_claude_v2_4!E64,recreation_claude_v2_3!E64,recreation_claude_v2_2!E64,recreation_claude_v2_1!E64),0)</f>
        <v>1</v>
      </c>
      <c r="F64">
        <f>IF($E64 = 1,ROUND(SUM(recreation_claude_v2_5!F64,recreation_claude_v2_4!F64,recreation_claude_v2_3!F64,recreation_claude_v2_2!F64,recreation_claude_v2_1!F64)/COUNT(recreation_claude_v2_5!F64,recreation_claude_v2_4!F64,recreation_claude_v2_3!F64,recreation_claude_v2_2!F64,recreation_claude_v2_1!F64),0),"NA")</f>
        <v>1</v>
      </c>
      <c r="G64">
        <f>IF($E64 = 1,ROUND(SUM(recreation_claude_v2_5!G64,recreation_claude_v2_4!G64,recreation_claude_v2_3!G64,recreation_claude_v2_2!G64,recreation_claude_v2_1!G64)/COUNT(recreation_claude_v2_5!G64,recreation_claude_v2_4!G64,recreation_claude_v2_3!G64,recreation_claude_v2_2!G64,recreation_claude_v2_1!G64),0),"NA")</f>
        <v>0</v>
      </c>
      <c r="H64">
        <f>IF($E64 = 1,ROUND(SUM(recreation_claude_v2_5!I64,recreation_claude_v2_4!I64,recreation_claude_v2_3!I64,recreation_claude_v2_2!I64,recreation_claude_v2_1!I64)/COUNT(recreation_claude_v2_5!I64,recreation_claude_v2_4!I64,recreation_claude_v2_3!I64,recreation_claude_v2_2!I64,recreation_claude_v2_1!I64),0),"NA")</f>
        <v>1</v>
      </c>
      <c r="I64">
        <f>IF($F64 = 1,ROUND(SUM(recreation_claude_v2_5!J64,recreation_claude_v2_4!J64,recreation_claude_v2_3!J64,recreation_claude_v2_2!J64,recreation_claude_v2_1!J64)/COUNT(recreation_claude_v2_5!J64,recreation_claude_v2_4!J64,recreation_claude_v2_3!J64,recreation_claude_v2_2!J64,recreation_claude_v2_1!J64),0),"NA")</f>
        <v>1</v>
      </c>
      <c r="J64">
        <f>IF($E64 = 1,ROUND(SUM(recreation_claude_v2_5!K64,recreation_claude_v2_4!K64,recreation_claude_v2_3!K64,recreation_claude_v2_2!K64,recreation_claude_v2_1!K64)/COUNT(recreation_claude_v2_5!K64,recreation_claude_v2_4!K64,recreation_claude_v2_3!K64,recreation_claude_v2_2!K64,recreation_claude_v2_1!K64),0),"NA")</f>
        <v>1</v>
      </c>
      <c r="K64" t="str">
        <f>IF(AND($F64 = 1, $G64 = 1),ROUND(SUM(recreation_claude_v2_5!L64,recreation_claude_v2_4!L64,recreation_claude_v2_3!L64,recreation_claude_v2_2!L64,recreation_claude_v2_1!L64)/COUNT(recreation_claude_v2_5!L64,recreation_claude_v2_4!L64,recreation_claude_v2_3!L64,recreation_claude_v2_2!L64,recreation_claude_v2_1!L64),0),"NA")</f>
        <v>NA</v>
      </c>
      <c r="L64">
        <f>IF($E64 = 1,ROUND(SUM(recreation_claude_v2_5!L64,recreation_claude_v2_4!L64,recreation_claude_v2_3!L64,recreation_claude_v2_2!L64,recreation_claude_v2_1!L64)/COUNT(recreation_claude_v2_5!L64,recreation_claude_v2_4!L64,recreation_claude_v2_3!L64,recreation_claude_v2_2!L64,recreation_claude_v2_1!L64),0),"NA")</f>
        <v>1</v>
      </c>
      <c r="M64">
        <f>IF($E64 = 1,ROUND(SUM(recreation_claude_v2_5!M64,recreation_claude_v2_4!M64,recreation_claude_v2_3!M64,recreation_claude_v2_2!M64,recreation_claude_v2_1!M64)/COUNT(recreation_claude_v2_5!M64,recreation_claude_v2_4!M64,recreation_claude_v2_3!M64,recreation_claude_v2_2!M64,recreation_claude_v2_1!M64),0),"NA")</f>
        <v>1</v>
      </c>
      <c r="N64">
        <f>IF($E64 = 1,ROUND(SUM(recreation_claude_v2_5!N64,recreation_claude_v2_4!N64,recreation_claude_v2_3!N64,recreation_claude_v2_2!N64,recreation_claude_v2_1!N64)/COUNT(recreation_claude_v2_5!N64,recreation_claude_v2_4!N64,recreation_claude_v2_3!N64,recreation_claude_v2_2!N64,recreation_claude_v2_1!N64),0),"NA")</f>
        <v>1</v>
      </c>
      <c r="O64">
        <f>IF($E64 = 1,ROUND(SUM(recreation_claude_v2_5!O64,recreation_claude_v2_4!O64,recreation_claude_v2_3!O64,recreation_claude_v2_2!O64,recreation_claude_v2_1!O64)/COUNT(recreation_claude_v2_5!O64,recreation_claude_v2_4!O64,recreation_claude_v2_3!O64,recreation_claude_v2_2!O64,recreation_claude_v2_1!O64),0),"NA")</f>
        <v>1</v>
      </c>
    </row>
    <row r="65" spans="1:15" x14ac:dyDescent="0.25">
      <c r="A65" t="s">
        <v>92</v>
      </c>
      <c r="B65" t="s">
        <v>36</v>
      </c>
      <c r="C65">
        <v>0</v>
      </c>
      <c r="D65">
        <v>5.3955798149108887</v>
      </c>
      <c r="E65">
        <f>ROUND(SUM(recreation_claude_v2_5!E65,recreation_claude_v2_4!E65,recreation_claude_v2_3!E65,recreation_claude_v2_2!E65,recreation_claude_v2_1!E65)/COUNT(recreation_claude_v2_5!E65,recreation_claude_v2_4!E65,recreation_claude_v2_3!E65,recreation_claude_v2_2!E65,recreation_claude_v2_1!E65),0)</f>
        <v>1</v>
      </c>
      <c r="F65">
        <f>IF($E65 = 1,ROUND(SUM(recreation_claude_v2_5!F65,recreation_claude_v2_4!F65,recreation_claude_v2_3!F65,recreation_claude_v2_2!F65,recreation_claude_v2_1!F65)/COUNT(recreation_claude_v2_5!F65,recreation_claude_v2_4!F65,recreation_claude_v2_3!F65,recreation_claude_v2_2!F65,recreation_claude_v2_1!F65),0),"NA")</f>
        <v>0</v>
      </c>
      <c r="G65">
        <f>IF($E65 = 1,ROUND(SUM(recreation_claude_v2_5!G65,recreation_claude_v2_4!G65,recreation_claude_v2_3!G65,recreation_claude_v2_2!G65,recreation_claude_v2_1!G65)/COUNT(recreation_claude_v2_5!G65,recreation_claude_v2_4!G65,recreation_claude_v2_3!G65,recreation_claude_v2_2!G65,recreation_claude_v2_1!G65),0),"NA")</f>
        <v>1</v>
      </c>
      <c r="H65">
        <f>IF($E65 = 1,ROUND(SUM(recreation_claude_v2_5!I65,recreation_claude_v2_4!I65,recreation_claude_v2_3!I65,recreation_claude_v2_2!I65,recreation_claude_v2_1!I65)/COUNT(recreation_claude_v2_5!I65,recreation_claude_v2_4!I65,recreation_claude_v2_3!I65,recreation_claude_v2_2!I65,recreation_claude_v2_1!I65),0),"NA")</f>
        <v>1</v>
      </c>
      <c r="I65" t="str">
        <f>IF($F65 = 1,ROUND(SUM(recreation_claude_v2_5!J65,recreation_claude_v2_4!J65,recreation_claude_v2_3!J65,recreation_claude_v2_2!J65,recreation_claude_v2_1!J65)/COUNT(recreation_claude_v2_5!J65,recreation_claude_v2_4!J65,recreation_claude_v2_3!J65,recreation_claude_v2_2!J65,recreation_claude_v2_1!J65),0),"NA")</f>
        <v>NA</v>
      </c>
      <c r="J65">
        <f>IF($E65 = 1,ROUND(SUM(recreation_claude_v2_5!K65,recreation_claude_v2_4!K65,recreation_claude_v2_3!K65,recreation_claude_v2_2!K65,recreation_claude_v2_1!K65)/COUNT(recreation_claude_v2_5!K65,recreation_claude_v2_4!K65,recreation_claude_v2_3!K65,recreation_claude_v2_2!K65,recreation_claude_v2_1!K65),0),"NA")</f>
        <v>1</v>
      </c>
      <c r="K65" t="str">
        <f>IF(AND($F65 = 1, $G65 = 1),ROUND(SUM(recreation_claude_v2_5!L65,recreation_claude_v2_4!L65,recreation_claude_v2_3!L65,recreation_claude_v2_2!L65,recreation_claude_v2_1!L65)/COUNT(recreation_claude_v2_5!L65,recreation_claude_v2_4!L65,recreation_claude_v2_3!L65,recreation_claude_v2_2!L65,recreation_claude_v2_1!L65),0),"NA")</f>
        <v>NA</v>
      </c>
      <c r="L65">
        <f>IF($E65 = 1,ROUND(SUM(recreation_claude_v2_5!L65,recreation_claude_v2_4!L65,recreation_claude_v2_3!L65,recreation_claude_v2_2!L65,recreation_claude_v2_1!L65)/COUNT(recreation_claude_v2_5!L65,recreation_claude_v2_4!L65,recreation_claude_v2_3!L65,recreation_claude_v2_2!L65,recreation_claude_v2_1!L65),0),"NA")</f>
        <v>1</v>
      </c>
      <c r="M65">
        <f>IF($E65 = 1,ROUND(SUM(recreation_claude_v2_5!M65,recreation_claude_v2_4!M65,recreation_claude_v2_3!M65,recreation_claude_v2_2!M65,recreation_claude_v2_1!M65)/COUNT(recreation_claude_v2_5!M65,recreation_claude_v2_4!M65,recreation_claude_v2_3!M65,recreation_claude_v2_2!M65,recreation_claude_v2_1!M65),0),"NA")</f>
        <v>1</v>
      </c>
      <c r="N65">
        <f>IF($E65 = 1,ROUND(SUM(recreation_claude_v2_5!N65,recreation_claude_v2_4!N65,recreation_claude_v2_3!N65,recreation_claude_v2_2!N65,recreation_claude_v2_1!N65)/COUNT(recreation_claude_v2_5!N65,recreation_claude_v2_4!N65,recreation_claude_v2_3!N65,recreation_claude_v2_2!N65,recreation_claude_v2_1!N65),0),"NA")</f>
        <v>1</v>
      </c>
      <c r="O65">
        <f>IF($E65 = 1,ROUND(SUM(recreation_claude_v2_5!O65,recreation_claude_v2_4!O65,recreation_claude_v2_3!O65,recreation_claude_v2_2!O65,recreation_claude_v2_1!O65)/COUNT(recreation_claude_v2_5!O65,recreation_claude_v2_4!O65,recreation_claude_v2_3!O65,recreation_claude_v2_2!O65,recreation_claude_v2_1!O65),0),"NA")</f>
        <v>1</v>
      </c>
    </row>
    <row r="66" spans="1:15" x14ac:dyDescent="0.25">
      <c r="A66" t="s">
        <v>92</v>
      </c>
      <c r="B66" t="s">
        <v>38</v>
      </c>
      <c r="C66">
        <v>0</v>
      </c>
      <c r="D66">
        <v>2.8345768451690669</v>
      </c>
      <c r="E66">
        <f>ROUND(SUM(recreation_claude_v2_5!E66,recreation_claude_v2_4!E66,recreation_claude_v2_3!E66,recreation_claude_v2_2!E66,recreation_claude_v2_1!E66)/COUNT(recreation_claude_v2_5!E66,recreation_claude_v2_4!E66,recreation_claude_v2_3!E66,recreation_claude_v2_2!E66,recreation_claude_v2_1!E66),0)</f>
        <v>1</v>
      </c>
      <c r="F66">
        <f>IF($E66 = 1,ROUND(SUM(recreation_claude_v2_5!F66,recreation_claude_v2_4!F66,recreation_claude_v2_3!F66,recreation_claude_v2_2!F66,recreation_claude_v2_1!F66)/COUNT(recreation_claude_v2_5!F66,recreation_claude_v2_4!F66,recreation_claude_v2_3!F66,recreation_claude_v2_2!F66,recreation_claude_v2_1!F66),0),"NA")</f>
        <v>1</v>
      </c>
      <c r="G66">
        <f>IF($E66 = 1,ROUND(SUM(recreation_claude_v2_5!G66,recreation_claude_v2_4!G66,recreation_claude_v2_3!G66,recreation_claude_v2_2!G66,recreation_claude_v2_1!G66)/COUNT(recreation_claude_v2_5!G66,recreation_claude_v2_4!G66,recreation_claude_v2_3!G66,recreation_claude_v2_2!G66,recreation_claude_v2_1!G66),0),"NA")</f>
        <v>1</v>
      </c>
      <c r="H66">
        <f>IF($E66 = 1,ROUND(SUM(recreation_claude_v2_5!I66,recreation_claude_v2_4!I66,recreation_claude_v2_3!I66,recreation_claude_v2_2!I66,recreation_claude_v2_1!I66)/COUNT(recreation_claude_v2_5!I66,recreation_claude_v2_4!I66,recreation_claude_v2_3!I66,recreation_claude_v2_2!I66,recreation_claude_v2_1!I66),0),"NA")</f>
        <v>1</v>
      </c>
      <c r="I66">
        <f>IF($F66 = 1,ROUND(SUM(recreation_claude_v2_5!J66,recreation_claude_v2_4!J66,recreation_claude_v2_3!J66,recreation_claude_v2_2!J66,recreation_claude_v2_1!J66)/COUNT(recreation_claude_v2_5!J66,recreation_claude_v2_4!J66,recreation_claude_v2_3!J66,recreation_claude_v2_2!J66,recreation_claude_v2_1!J66),0),"NA")</f>
        <v>1</v>
      </c>
      <c r="J66">
        <f>IF($E66 = 1,ROUND(SUM(recreation_claude_v2_5!K66,recreation_claude_v2_4!K66,recreation_claude_v2_3!K66,recreation_claude_v2_2!K66,recreation_claude_v2_1!K66)/COUNT(recreation_claude_v2_5!K66,recreation_claude_v2_4!K66,recreation_claude_v2_3!K66,recreation_claude_v2_2!K66,recreation_claude_v2_1!K66),0),"NA")</f>
        <v>1</v>
      </c>
      <c r="K66">
        <f>IF(AND($F66 = 1, $G66 = 1),ROUND(SUM(recreation_claude_v2_5!L66,recreation_claude_v2_4!L66,recreation_claude_v2_3!L66,recreation_claude_v2_2!L66,recreation_claude_v2_1!L66)/COUNT(recreation_claude_v2_5!L66,recreation_claude_v2_4!L66,recreation_claude_v2_3!L66,recreation_claude_v2_2!L66,recreation_claude_v2_1!L66),0),"NA")</f>
        <v>1</v>
      </c>
      <c r="L66">
        <f>IF($E66 = 1,ROUND(SUM(recreation_claude_v2_5!L66,recreation_claude_v2_4!L66,recreation_claude_v2_3!L66,recreation_claude_v2_2!L66,recreation_claude_v2_1!L66)/COUNT(recreation_claude_v2_5!L66,recreation_claude_v2_4!L66,recreation_claude_v2_3!L66,recreation_claude_v2_2!L66,recreation_claude_v2_1!L66),0),"NA")</f>
        <v>1</v>
      </c>
      <c r="M66">
        <f>IF($E66 = 1,ROUND(SUM(recreation_claude_v2_5!M66,recreation_claude_v2_4!M66,recreation_claude_v2_3!M66,recreation_claude_v2_2!M66,recreation_claude_v2_1!M66)/COUNT(recreation_claude_v2_5!M66,recreation_claude_v2_4!M66,recreation_claude_v2_3!M66,recreation_claude_v2_2!M66,recreation_claude_v2_1!M66),0),"NA")</f>
        <v>1</v>
      </c>
      <c r="N66">
        <f>IF($E66 = 1,ROUND(SUM(recreation_claude_v2_5!N66,recreation_claude_v2_4!N66,recreation_claude_v2_3!N66,recreation_claude_v2_2!N66,recreation_claude_v2_1!N66)/COUNT(recreation_claude_v2_5!N66,recreation_claude_v2_4!N66,recreation_claude_v2_3!N66,recreation_claude_v2_2!N66,recreation_claude_v2_1!N66),0),"NA")</f>
        <v>1</v>
      </c>
      <c r="O66">
        <f>IF($E66 = 1,ROUND(SUM(recreation_claude_v2_5!O66,recreation_claude_v2_4!O66,recreation_claude_v2_3!O66,recreation_claude_v2_2!O66,recreation_claude_v2_1!O66)/COUNT(recreation_claude_v2_5!O66,recreation_claude_v2_4!O66,recreation_claude_v2_3!O66,recreation_claude_v2_2!O66,recreation_claude_v2_1!O66),0),"NA")</f>
        <v>1</v>
      </c>
    </row>
    <row r="67" spans="1:15" x14ac:dyDescent="0.25">
      <c r="A67" t="s">
        <v>92</v>
      </c>
      <c r="B67" t="s">
        <v>39</v>
      </c>
      <c r="C67">
        <v>0</v>
      </c>
      <c r="D67">
        <v>2.9753348827362061</v>
      </c>
      <c r="E67">
        <f>ROUND(SUM(recreation_claude_v2_5!E67,recreation_claude_v2_4!E67,recreation_claude_v2_3!E67,recreation_claude_v2_2!E67,recreation_claude_v2_1!E67)/COUNT(recreation_claude_v2_5!E67,recreation_claude_v2_4!E67,recreation_claude_v2_3!E67,recreation_claude_v2_2!E67,recreation_claude_v2_1!E67),0)</f>
        <v>1</v>
      </c>
      <c r="F67">
        <f>IF($E67 = 1,ROUND(SUM(recreation_claude_v2_5!F67,recreation_claude_v2_4!F67,recreation_claude_v2_3!F67,recreation_claude_v2_2!F67,recreation_claude_v2_1!F67)/COUNT(recreation_claude_v2_5!F67,recreation_claude_v2_4!F67,recreation_claude_v2_3!F67,recreation_claude_v2_2!F67,recreation_claude_v2_1!F67),0),"NA")</f>
        <v>1</v>
      </c>
      <c r="G67">
        <f>IF($E67 = 1,ROUND(SUM(recreation_claude_v2_5!G67,recreation_claude_v2_4!G67,recreation_claude_v2_3!G67,recreation_claude_v2_2!G67,recreation_claude_v2_1!G67)/COUNT(recreation_claude_v2_5!G67,recreation_claude_v2_4!G67,recreation_claude_v2_3!G67,recreation_claude_v2_2!G67,recreation_claude_v2_1!G67),0),"NA")</f>
        <v>1</v>
      </c>
      <c r="H67">
        <f>IF($E67 = 1,ROUND(SUM(recreation_claude_v2_5!I67,recreation_claude_v2_4!I67,recreation_claude_v2_3!I67,recreation_claude_v2_2!I67,recreation_claude_v2_1!I67)/COUNT(recreation_claude_v2_5!I67,recreation_claude_v2_4!I67,recreation_claude_v2_3!I67,recreation_claude_v2_2!I67,recreation_claude_v2_1!I67),0),"NA")</f>
        <v>1</v>
      </c>
      <c r="I67">
        <f>IF($F67 = 1,ROUND(SUM(recreation_claude_v2_5!J67,recreation_claude_v2_4!J67,recreation_claude_v2_3!J67,recreation_claude_v2_2!J67,recreation_claude_v2_1!J67)/COUNT(recreation_claude_v2_5!J67,recreation_claude_v2_4!J67,recreation_claude_v2_3!J67,recreation_claude_v2_2!J67,recreation_claude_v2_1!J67),0),"NA")</f>
        <v>1</v>
      </c>
      <c r="J67">
        <f>IF($E67 = 1,ROUND(SUM(recreation_claude_v2_5!K67,recreation_claude_v2_4!K67,recreation_claude_v2_3!K67,recreation_claude_v2_2!K67,recreation_claude_v2_1!K67)/COUNT(recreation_claude_v2_5!K67,recreation_claude_v2_4!K67,recreation_claude_v2_3!K67,recreation_claude_v2_2!K67,recreation_claude_v2_1!K67),0),"NA")</f>
        <v>1</v>
      </c>
      <c r="K67">
        <f>IF(AND($F67 = 1, $G67 = 1),ROUND(SUM(recreation_claude_v2_5!L67,recreation_claude_v2_4!L67,recreation_claude_v2_3!L67,recreation_claude_v2_2!L67,recreation_claude_v2_1!L67)/COUNT(recreation_claude_v2_5!L67,recreation_claude_v2_4!L67,recreation_claude_v2_3!L67,recreation_claude_v2_2!L67,recreation_claude_v2_1!L67),0),"NA")</f>
        <v>1</v>
      </c>
      <c r="L67">
        <f>IF($E67 = 1,ROUND(SUM(recreation_claude_v2_5!L67,recreation_claude_v2_4!L67,recreation_claude_v2_3!L67,recreation_claude_v2_2!L67,recreation_claude_v2_1!L67)/COUNT(recreation_claude_v2_5!L67,recreation_claude_v2_4!L67,recreation_claude_v2_3!L67,recreation_claude_v2_2!L67,recreation_claude_v2_1!L67),0),"NA")</f>
        <v>1</v>
      </c>
      <c r="M67">
        <f>IF($E67 = 1,ROUND(SUM(recreation_claude_v2_5!M67,recreation_claude_v2_4!M67,recreation_claude_v2_3!M67,recreation_claude_v2_2!M67,recreation_claude_v2_1!M67)/COUNT(recreation_claude_v2_5!M67,recreation_claude_v2_4!M67,recreation_claude_v2_3!M67,recreation_claude_v2_2!M67,recreation_claude_v2_1!M67),0),"NA")</f>
        <v>1</v>
      </c>
      <c r="N67">
        <f>IF($E67 = 1,ROUND(SUM(recreation_claude_v2_5!N67,recreation_claude_v2_4!N67,recreation_claude_v2_3!N67,recreation_claude_v2_2!N67,recreation_claude_v2_1!N67)/COUNT(recreation_claude_v2_5!N67,recreation_claude_v2_4!N67,recreation_claude_v2_3!N67,recreation_claude_v2_2!N67,recreation_claude_v2_1!N67),0),"NA")</f>
        <v>1</v>
      </c>
      <c r="O67">
        <f>IF($E67 = 1,ROUND(SUM(recreation_claude_v2_5!O67,recreation_claude_v2_4!O67,recreation_claude_v2_3!O67,recreation_claude_v2_2!O67,recreation_claude_v2_1!O67)/COUNT(recreation_claude_v2_5!O67,recreation_claude_v2_4!O67,recreation_claude_v2_3!O67,recreation_claude_v2_2!O67,recreation_claude_v2_1!O67),0),"NA")</f>
        <v>1</v>
      </c>
    </row>
    <row r="68" spans="1:15" x14ac:dyDescent="0.25">
      <c r="A68" t="s">
        <v>92</v>
      </c>
      <c r="B68" t="s">
        <v>40</v>
      </c>
      <c r="C68">
        <v>0</v>
      </c>
      <c r="D68">
        <v>12.38556528091431</v>
      </c>
      <c r="E68">
        <f>ROUND(SUM(recreation_claude_v2_5!E68,recreation_claude_v2_4!E68,recreation_claude_v2_3!E68,recreation_claude_v2_2!E68,recreation_claude_v2_1!E68)/COUNT(recreation_claude_v2_5!E68,recreation_claude_v2_4!E68,recreation_claude_v2_3!E68,recreation_claude_v2_2!E68,recreation_claude_v2_1!E68),0)</f>
        <v>1</v>
      </c>
      <c r="F68">
        <f>IF($E68 = 1,ROUND(SUM(recreation_claude_v2_5!F68,recreation_claude_v2_4!F68,recreation_claude_v2_3!F68,recreation_claude_v2_2!F68,recreation_claude_v2_1!F68)/COUNT(recreation_claude_v2_5!F68,recreation_claude_v2_4!F68,recreation_claude_v2_3!F68,recreation_claude_v2_2!F68,recreation_claude_v2_1!F68),0),"NA")</f>
        <v>1</v>
      </c>
      <c r="G68">
        <f>IF($E68 = 1,ROUND(SUM(recreation_claude_v2_5!G68,recreation_claude_v2_4!G68,recreation_claude_v2_3!G68,recreation_claude_v2_2!G68,recreation_claude_v2_1!G68)/COUNT(recreation_claude_v2_5!G68,recreation_claude_v2_4!G68,recreation_claude_v2_3!G68,recreation_claude_v2_2!G68,recreation_claude_v2_1!G68),0),"NA")</f>
        <v>0</v>
      </c>
      <c r="H68">
        <f>IF($E68 = 1,ROUND(SUM(recreation_claude_v2_5!I68,recreation_claude_v2_4!I68,recreation_claude_v2_3!I68,recreation_claude_v2_2!I68,recreation_claude_v2_1!I68)/COUNT(recreation_claude_v2_5!I68,recreation_claude_v2_4!I68,recreation_claude_v2_3!I68,recreation_claude_v2_2!I68,recreation_claude_v2_1!I68),0),"NA")</f>
        <v>1</v>
      </c>
      <c r="I68">
        <f>IF($F68 = 1,ROUND(SUM(recreation_claude_v2_5!J68,recreation_claude_v2_4!J68,recreation_claude_v2_3!J68,recreation_claude_v2_2!J68,recreation_claude_v2_1!J68)/COUNT(recreation_claude_v2_5!J68,recreation_claude_v2_4!J68,recreation_claude_v2_3!J68,recreation_claude_v2_2!J68,recreation_claude_v2_1!J68),0),"NA")</f>
        <v>1</v>
      </c>
      <c r="J68">
        <f>IF($E68 = 1,ROUND(SUM(recreation_claude_v2_5!K68,recreation_claude_v2_4!K68,recreation_claude_v2_3!K68,recreation_claude_v2_2!K68,recreation_claude_v2_1!K68)/COUNT(recreation_claude_v2_5!K68,recreation_claude_v2_4!K68,recreation_claude_v2_3!K68,recreation_claude_v2_2!K68,recreation_claude_v2_1!K68),0),"NA")</f>
        <v>1</v>
      </c>
      <c r="K68" t="str">
        <f>IF(AND($F68 = 1, $G68 = 1),ROUND(SUM(recreation_claude_v2_5!L68,recreation_claude_v2_4!L68,recreation_claude_v2_3!L68,recreation_claude_v2_2!L68,recreation_claude_v2_1!L68)/COUNT(recreation_claude_v2_5!L68,recreation_claude_v2_4!L68,recreation_claude_v2_3!L68,recreation_claude_v2_2!L68,recreation_claude_v2_1!L68),0),"NA")</f>
        <v>NA</v>
      </c>
      <c r="L68">
        <f>IF($E68 = 1,ROUND(SUM(recreation_claude_v2_5!L68,recreation_claude_v2_4!L68,recreation_claude_v2_3!L68,recreation_claude_v2_2!L68,recreation_claude_v2_1!L68)/COUNT(recreation_claude_v2_5!L68,recreation_claude_v2_4!L68,recreation_claude_v2_3!L68,recreation_claude_v2_2!L68,recreation_claude_v2_1!L68),0),"NA")</f>
        <v>1</v>
      </c>
      <c r="M68">
        <f>IF($E68 = 1,ROUND(SUM(recreation_claude_v2_5!M68,recreation_claude_v2_4!M68,recreation_claude_v2_3!M68,recreation_claude_v2_2!M68,recreation_claude_v2_1!M68)/COUNT(recreation_claude_v2_5!M68,recreation_claude_v2_4!M68,recreation_claude_v2_3!M68,recreation_claude_v2_2!M68,recreation_claude_v2_1!M68),0),"NA")</f>
        <v>0</v>
      </c>
      <c r="N68">
        <f>IF($E68 = 1,ROUND(SUM(recreation_claude_v2_5!N68,recreation_claude_v2_4!N68,recreation_claude_v2_3!N68,recreation_claude_v2_2!N68,recreation_claude_v2_1!N68)/COUNT(recreation_claude_v2_5!N68,recreation_claude_v2_4!N68,recreation_claude_v2_3!N68,recreation_claude_v2_2!N68,recreation_claude_v2_1!N68),0),"NA")</f>
        <v>1</v>
      </c>
      <c r="O68">
        <f>IF($E68 = 1,ROUND(SUM(recreation_claude_v2_5!O68,recreation_claude_v2_4!O68,recreation_claude_v2_3!O68,recreation_claude_v2_2!O68,recreation_claude_v2_1!O68)/COUNT(recreation_claude_v2_5!O68,recreation_claude_v2_4!O68,recreation_claude_v2_3!O68,recreation_claude_v2_2!O68,recreation_claude_v2_1!O68),0),"NA")</f>
        <v>1</v>
      </c>
    </row>
    <row r="69" spans="1:15" x14ac:dyDescent="0.25">
      <c r="A69" t="s">
        <v>92</v>
      </c>
      <c r="B69" t="s">
        <v>41</v>
      </c>
      <c r="C69">
        <v>0</v>
      </c>
      <c r="D69">
        <v>10.220716238021851</v>
      </c>
      <c r="E69">
        <f>ROUND(SUM(recreation_claude_v2_5!E69,recreation_claude_v2_4!E69,recreation_claude_v2_3!E69,recreation_claude_v2_2!E69,recreation_claude_v2_1!E69)/COUNT(recreation_claude_v2_5!E69,recreation_claude_v2_4!E69,recreation_claude_v2_3!E69,recreation_claude_v2_2!E69,recreation_claude_v2_1!E69),0)</f>
        <v>1</v>
      </c>
      <c r="F69">
        <f>IF($E69 = 1,ROUND(SUM(recreation_claude_v2_5!F69,recreation_claude_v2_4!F69,recreation_claude_v2_3!F69,recreation_claude_v2_2!F69,recreation_claude_v2_1!F69)/COUNT(recreation_claude_v2_5!F69,recreation_claude_v2_4!F69,recreation_claude_v2_3!F69,recreation_claude_v2_2!F69,recreation_claude_v2_1!F69),0),"NA")</f>
        <v>1</v>
      </c>
      <c r="G69">
        <f>IF($E69 = 1,ROUND(SUM(recreation_claude_v2_5!G69,recreation_claude_v2_4!G69,recreation_claude_v2_3!G69,recreation_claude_v2_2!G69,recreation_claude_v2_1!G69)/COUNT(recreation_claude_v2_5!G69,recreation_claude_v2_4!G69,recreation_claude_v2_3!G69,recreation_claude_v2_2!G69,recreation_claude_v2_1!G69),0),"NA")</f>
        <v>1</v>
      </c>
      <c r="H69">
        <f>IF($E69 = 1,ROUND(SUM(recreation_claude_v2_5!I69,recreation_claude_v2_4!I69,recreation_claude_v2_3!I69,recreation_claude_v2_2!I69,recreation_claude_v2_1!I69)/COUNT(recreation_claude_v2_5!I69,recreation_claude_v2_4!I69,recreation_claude_v2_3!I69,recreation_claude_v2_2!I69,recreation_claude_v2_1!I69),0),"NA")</f>
        <v>1</v>
      </c>
      <c r="I69">
        <f>IF($F69 = 1,ROUND(SUM(recreation_claude_v2_5!J69,recreation_claude_v2_4!J69,recreation_claude_v2_3!J69,recreation_claude_v2_2!J69,recreation_claude_v2_1!J69)/COUNT(recreation_claude_v2_5!J69,recreation_claude_v2_4!J69,recreation_claude_v2_3!J69,recreation_claude_v2_2!J69,recreation_claude_v2_1!J69),0),"NA")</f>
        <v>1</v>
      </c>
      <c r="J69">
        <f>IF($E69 = 1,ROUND(SUM(recreation_claude_v2_5!K69,recreation_claude_v2_4!K69,recreation_claude_v2_3!K69,recreation_claude_v2_2!K69,recreation_claude_v2_1!K69)/COUNT(recreation_claude_v2_5!K69,recreation_claude_v2_4!K69,recreation_claude_v2_3!K69,recreation_claude_v2_2!K69,recreation_claude_v2_1!K69),0),"NA")</f>
        <v>1</v>
      </c>
      <c r="K69">
        <f>IF(AND($F69 = 1, $G69 = 1),ROUND(SUM(recreation_claude_v2_5!L69,recreation_claude_v2_4!L69,recreation_claude_v2_3!L69,recreation_claude_v2_2!L69,recreation_claude_v2_1!L69)/COUNT(recreation_claude_v2_5!L69,recreation_claude_v2_4!L69,recreation_claude_v2_3!L69,recreation_claude_v2_2!L69,recreation_claude_v2_1!L69),0),"NA")</f>
        <v>1</v>
      </c>
      <c r="L69">
        <f>IF($E69 = 1,ROUND(SUM(recreation_claude_v2_5!L69,recreation_claude_v2_4!L69,recreation_claude_v2_3!L69,recreation_claude_v2_2!L69,recreation_claude_v2_1!L69)/COUNT(recreation_claude_v2_5!L69,recreation_claude_v2_4!L69,recreation_claude_v2_3!L69,recreation_claude_v2_2!L69,recreation_claude_v2_1!L69),0),"NA")</f>
        <v>1</v>
      </c>
      <c r="M69">
        <f>IF($E69 = 1,ROUND(SUM(recreation_claude_v2_5!M69,recreation_claude_v2_4!M69,recreation_claude_v2_3!M69,recreation_claude_v2_2!M69,recreation_claude_v2_1!M69)/COUNT(recreation_claude_v2_5!M69,recreation_claude_v2_4!M69,recreation_claude_v2_3!M69,recreation_claude_v2_2!M69,recreation_claude_v2_1!M69),0),"NA")</f>
        <v>1</v>
      </c>
      <c r="N69">
        <f>IF($E69 = 1,ROUND(SUM(recreation_claude_v2_5!N69,recreation_claude_v2_4!N69,recreation_claude_v2_3!N69,recreation_claude_v2_2!N69,recreation_claude_v2_1!N69)/COUNT(recreation_claude_v2_5!N69,recreation_claude_v2_4!N69,recreation_claude_v2_3!N69,recreation_claude_v2_2!N69,recreation_claude_v2_1!N69),0),"NA")</f>
        <v>1</v>
      </c>
      <c r="O69">
        <f>IF($E69 = 1,ROUND(SUM(recreation_claude_v2_5!O69,recreation_claude_v2_4!O69,recreation_claude_v2_3!O69,recreation_claude_v2_2!O69,recreation_claude_v2_1!O69)/COUNT(recreation_claude_v2_5!O69,recreation_claude_v2_4!O69,recreation_claude_v2_3!O69,recreation_claude_v2_2!O69,recreation_claude_v2_1!O69),0),"NA")</f>
        <v>1</v>
      </c>
    </row>
    <row r="70" spans="1:15" x14ac:dyDescent="0.25">
      <c r="A70" t="s">
        <v>92</v>
      </c>
      <c r="B70" t="s">
        <v>43</v>
      </c>
      <c r="C70">
        <v>0</v>
      </c>
      <c r="D70">
        <v>8.60040283203125</v>
      </c>
      <c r="E70">
        <f>ROUND(SUM(recreation_claude_v2_5!E70,recreation_claude_v2_4!E70,recreation_claude_v2_3!E70,recreation_claude_v2_2!E70,recreation_claude_v2_1!E70)/COUNT(recreation_claude_v2_5!E70,recreation_claude_v2_4!E70,recreation_claude_v2_3!E70,recreation_claude_v2_2!E70,recreation_claude_v2_1!E70),0)</f>
        <v>1</v>
      </c>
      <c r="F70">
        <f>IF($E70 = 1,ROUND(SUM(recreation_claude_v2_5!F70,recreation_claude_v2_4!F70,recreation_claude_v2_3!F70,recreation_claude_v2_2!F70,recreation_claude_v2_1!F70)/COUNT(recreation_claude_v2_5!F70,recreation_claude_v2_4!F70,recreation_claude_v2_3!F70,recreation_claude_v2_2!F70,recreation_claude_v2_1!F70),0),"NA")</f>
        <v>1</v>
      </c>
      <c r="G70">
        <f>IF($E70 = 1,ROUND(SUM(recreation_claude_v2_5!G70,recreation_claude_v2_4!G70,recreation_claude_v2_3!G70,recreation_claude_v2_2!G70,recreation_claude_v2_1!G70)/COUNT(recreation_claude_v2_5!G70,recreation_claude_v2_4!G70,recreation_claude_v2_3!G70,recreation_claude_v2_2!G70,recreation_claude_v2_1!G70),0),"NA")</f>
        <v>1</v>
      </c>
      <c r="H70">
        <f>IF($E70 = 1,ROUND(SUM(recreation_claude_v2_5!I70,recreation_claude_v2_4!I70,recreation_claude_v2_3!I70,recreation_claude_v2_2!I70,recreation_claude_v2_1!I70)/COUNT(recreation_claude_v2_5!I70,recreation_claude_v2_4!I70,recreation_claude_v2_3!I70,recreation_claude_v2_2!I70,recreation_claude_v2_1!I70),0),"NA")</f>
        <v>1</v>
      </c>
      <c r="I70">
        <f>IF($F70 = 1,ROUND(SUM(recreation_claude_v2_5!J70,recreation_claude_v2_4!J70,recreation_claude_v2_3!J70,recreation_claude_v2_2!J70,recreation_claude_v2_1!J70)/COUNT(recreation_claude_v2_5!J70,recreation_claude_v2_4!J70,recreation_claude_v2_3!J70,recreation_claude_v2_2!J70,recreation_claude_v2_1!J70),0),"NA")</f>
        <v>1</v>
      </c>
      <c r="J70">
        <f>IF($E70 = 1,ROUND(SUM(recreation_claude_v2_5!K70,recreation_claude_v2_4!K70,recreation_claude_v2_3!K70,recreation_claude_v2_2!K70,recreation_claude_v2_1!K70)/COUNT(recreation_claude_v2_5!K70,recreation_claude_v2_4!K70,recreation_claude_v2_3!K70,recreation_claude_v2_2!K70,recreation_claude_v2_1!K70),0),"NA")</f>
        <v>1</v>
      </c>
      <c r="K70">
        <f>IF(AND($F70 = 1, $G70 = 1),ROUND(SUM(recreation_claude_v2_5!L70,recreation_claude_v2_4!L70,recreation_claude_v2_3!L70,recreation_claude_v2_2!L70,recreation_claude_v2_1!L70)/COUNT(recreation_claude_v2_5!L70,recreation_claude_v2_4!L70,recreation_claude_v2_3!L70,recreation_claude_v2_2!L70,recreation_claude_v2_1!L70),0),"NA")</f>
        <v>1</v>
      </c>
      <c r="L70">
        <f>IF($E70 = 1,ROUND(SUM(recreation_claude_v2_5!L70,recreation_claude_v2_4!L70,recreation_claude_v2_3!L70,recreation_claude_v2_2!L70,recreation_claude_v2_1!L70)/COUNT(recreation_claude_v2_5!L70,recreation_claude_v2_4!L70,recreation_claude_v2_3!L70,recreation_claude_v2_2!L70,recreation_claude_v2_1!L70),0),"NA")</f>
        <v>1</v>
      </c>
      <c r="M70">
        <f>IF($E70 = 1,ROUND(SUM(recreation_claude_v2_5!M70,recreation_claude_v2_4!M70,recreation_claude_v2_3!M70,recreation_claude_v2_2!M70,recreation_claude_v2_1!M70)/COUNT(recreation_claude_v2_5!M70,recreation_claude_v2_4!M70,recreation_claude_v2_3!M70,recreation_claude_v2_2!M70,recreation_claude_v2_1!M70),0),"NA")</f>
        <v>1</v>
      </c>
      <c r="N70">
        <f>IF($E70 = 1,ROUND(SUM(recreation_claude_v2_5!N70,recreation_claude_v2_4!N70,recreation_claude_v2_3!N70,recreation_claude_v2_2!N70,recreation_claude_v2_1!N70)/COUNT(recreation_claude_v2_5!N70,recreation_claude_v2_4!N70,recreation_claude_v2_3!N70,recreation_claude_v2_2!N70,recreation_claude_v2_1!N70),0),"NA")</f>
        <v>1</v>
      </c>
      <c r="O70">
        <f>IF($E70 = 1,ROUND(SUM(recreation_claude_v2_5!O70,recreation_claude_v2_4!O70,recreation_claude_v2_3!O70,recreation_claude_v2_2!O70,recreation_claude_v2_1!O70)/COUNT(recreation_claude_v2_5!O70,recreation_claude_v2_4!O70,recreation_claude_v2_3!O70,recreation_claude_v2_2!O70,recreation_claude_v2_1!O70),0),"NA")</f>
        <v>1</v>
      </c>
    </row>
    <row r="71" spans="1:15" x14ac:dyDescent="0.25">
      <c r="A71" t="s">
        <v>92</v>
      </c>
      <c r="B71" t="s">
        <v>44</v>
      </c>
      <c r="C71">
        <v>0</v>
      </c>
      <c r="D71">
        <v>10.32068181037903</v>
      </c>
      <c r="E71">
        <f>ROUND(SUM(recreation_claude_v2_5!E71,recreation_claude_v2_4!E71,recreation_claude_v2_3!E71,recreation_claude_v2_2!E71,recreation_claude_v2_1!E71)/COUNT(recreation_claude_v2_5!E71,recreation_claude_v2_4!E71,recreation_claude_v2_3!E71,recreation_claude_v2_2!E71,recreation_claude_v2_1!E71),0)</f>
        <v>1</v>
      </c>
      <c r="F71">
        <f>IF($E71 = 1,ROUND(SUM(recreation_claude_v2_5!F71,recreation_claude_v2_4!F71,recreation_claude_v2_3!F71,recreation_claude_v2_2!F71,recreation_claude_v2_1!F71)/COUNT(recreation_claude_v2_5!F71,recreation_claude_v2_4!F71,recreation_claude_v2_3!F71,recreation_claude_v2_2!F71,recreation_claude_v2_1!F71),0),"NA")</f>
        <v>1</v>
      </c>
      <c r="G71">
        <f>IF($E71 = 1,ROUND(SUM(recreation_claude_v2_5!G71,recreation_claude_v2_4!G71,recreation_claude_v2_3!G71,recreation_claude_v2_2!G71,recreation_claude_v2_1!G71)/COUNT(recreation_claude_v2_5!G71,recreation_claude_v2_4!G71,recreation_claude_v2_3!G71,recreation_claude_v2_2!G71,recreation_claude_v2_1!G71),0),"NA")</f>
        <v>1</v>
      </c>
      <c r="H71">
        <f>IF($E71 = 1,ROUND(SUM(recreation_claude_v2_5!I71,recreation_claude_v2_4!I71,recreation_claude_v2_3!I71,recreation_claude_v2_2!I71,recreation_claude_v2_1!I71)/COUNT(recreation_claude_v2_5!I71,recreation_claude_v2_4!I71,recreation_claude_v2_3!I71,recreation_claude_v2_2!I71,recreation_claude_v2_1!I71),0),"NA")</f>
        <v>1</v>
      </c>
      <c r="I71">
        <f>IF($F71 = 1,ROUND(SUM(recreation_claude_v2_5!J71,recreation_claude_v2_4!J71,recreation_claude_v2_3!J71,recreation_claude_v2_2!J71,recreation_claude_v2_1!J71)/COUNT(recreation_claude_v2_5!J71,recreation_claude_v2_4!J71,recreation_claude_v2_3!J71,recreation_claude_v2_2!J71,recreation_claude_v2_1!J71),0),"NA")</f>
        <v>1</v>
      </c>
      <c r="J71">
        <f>IF($E71 = 1,ROUND(SUM(recreation_claude_v2_5!K71,recreation_claude_v2_4!K71,recreation_claude_v2_3!K71,recreation_claude_v2_2!K71,recreation_claude_v2_1!K71)/COUNT(recreation_claude_v2_5!K71,recreation_claude_v2_4!K71,recreation_claude_v2_3!K71,recreation_claude_v2_2!K71,recreation_claude_v2_1!K71),0),"NA")</f>
        <v>1</v>
      </c>
      <c r="K71">
        <f>IF(AND($F71 = 1, $G71 = 1),ROUND(SUM(recreation_claude_v2_5!L71,recreation_claude_v2_4!L71,recreation_claude_v2_3!L71,recreation_claude_v2_2!L71,recreation_claude_v2_1!L71)/COUNT(recreation_claude_v2_5!L71,recreation_claude_v2_4!L71,recreation_claude_v2_3!L71,recreation_claude_v2_2!L71,recreation_claude_v2_1!L71),0),"NA")</f>
        <v>1</v>
      </c>
      <c r="L71">
        <f>IF($E71 = 1,ROUND(SUM(recreation_claude_v2_5!L71,recreation_claude_v2_4!L71,recreation_claude_v2_3!L71,recreation_claude_v2_2!L71,recreation_claude_v2_1!L71)/COUNT(recreation_claude_v2_5!L71,recreation_claude_v2_4!L71,recreation_claude_v2_3!L71,recreation_claude_v2_2!L71,recreation_claude_v2_1!L71),0),"NA")</f>
        <v>1</v>
      </c>
      <c r="M71">
        <f>IF($E71 = 1,ROUND(SUM(recreation_claude_v2_5!M71,recreation_claude_v2_4!M71,recreation_claude_v2_3!M71,recreation_claude_v2_2!M71,recreation_claude_v2_1!M71)/COUNT(recreation_claude_v2_5!M71,recreation_claude_v2_4!M71,recreation_claude_v2_3!M71,recreation_claude_v2_2!M71,recreation_claude_v2_1!M71),0),"NA")</f>
        <v>1</v>
      </c>
      <c r="N71">
        <f>IF($E71 = 1,ROUND(SUM(recreation_claude_v2_5!N71,recreation_claude_v2_4!N71,recreation_claude_v2_3!N71,recreation_claude_v2_2!N71,recreation_claude_v2_1!N71)/COUNT(recreation_claude_v2_5!N71,recreation_claude_v2_4!N71,recreation_claude_v2_3!N71,recreation_claude_v2_2!N71,recreation_claude_v2_1!N71),0),"NA")</f>
        <v>1</v>
      </c>
      <c r="O71">
        <f>IF($E71 = 1,ROUND(SUM(recreation_claude_v2_5!O71,recreation_claude_v2_4!O71,recreation_claude_v2_3!O71,recreation_claude_v2_2!O71,recreation_claude_v2_1!O71)/COUNT(recreation_claude_v2_5!O71,recreation_claude_v2_4!O71,recreation_claude_v2_3!O71,recreation_claude_v2_2!O71,recreation_claude_v2_1!O71),0),"NA")</f>
        <v>1</v>
      </c>
    </row>
    <row r="72" spans="1:15" x14ac:dyDescent="0.25">
      <c r="A72" t="s">
        <v>92</v>
      </c>
      <c r="B72" t="s">
        <v>45</v>
      </c>
      <c r="C72">
        <v>0</v>
      </c>
      <c r="D72">
        <v>10.02651572227478</v>
      </c>
      <c r="E72">
        <f>ROUND(SUM(recreation_claude_v2_5!E72,recreation_claude_v2_4!E72,recreation_claude_v2_3!E72,recreation_claude_v2_2!E72,recreation_claude_v2_1!E72)/COUNT(recreation_claude_v2_5!E72,recreation_claude_v2_4!E72,recreation_claude_v2_3!E72,recreation_claude_v2_2!E72,recreation_claude_v2_1!E72),0)</f>
        <v>1</v>
      </c>
      <c r="F72">
        <f>IF($E72 = 1,ROUND(SUM(recreation_claude_v2_5!F72,recreation_claude_v2_4!F72,recreation_claude_v2_3!F72,recreation_claude_v2_2!F72,recreation_claude_v2_1!F72)/COUNT(recreation_claude_v2_5!F72,recreation_claude_v2_4!F72,recreation_claude_v2_3!F72,recreation_claude_v2_2!F72,recreation_claude_v2_1!F72),0),"NA")</f>
        <v>1</v>
      </c>
      <c r="G72">
        <f>IF($E72 = 1,ROUND(SUM(recreation_claude_v2_5!G72,recreation_claude_v2_4!G72,recreation_claude_v2_3!G72,recreation_claude_v2_2!G72,recreation_claude_v2_1!G72)/COUNT(recreation_claude_v2_5!G72,recreation_claude_v2_4!G72,recreation_claude_v2_3!G72,recreation_claude_v2_2!G72,recreation_claude_v2_1!G72),0),"NA")</f>
        <v>1</v>
      </c>
      <c r="H72">
        <f>IF($E72 = 1,ROUND(SUM(recreation_claude_v2_5!I72,recreation_claude_v2_4!I72,recreation_claude_v2_3!I72,recreation_claude_v2_2!I72,recreation_claude_v2_1!I72)/COUNT(recreation_claude_v2_5!I72,recreation_claude_v2_4!I72,recreation_claude_v2_3!I72,recreation_claude_v2_2!I72,recreation_claude_v2_1!I72),0),"NA")</f>
        <v>1</v>
      </c>
      <c r="I72">
        <f>IF($F72 = 1,ROUND(SUM(recreation_claude_v2_5!J72,recreation_claude_v2_4!J72,recreation_claude_v2_3!J72,recreation_claude_v2_2!J72,recreation_claude_v2_1!J72)/COUNT(recreation_claude_v2_5!J72,recreation_claude_v2_4!J72,recreation_claude_v2_3!J72,recreation_claude_v2_2!J72,recreation_claude_v2_1!J72),0),"NA")</f>
        <v>1</v>
      </c>
      <c r="J72">
        <f>IF($E72 = 1,ROUND(SUM(recreation_claude_v2_5!K72,recreation_claude_v2_4!K72,recreation_claude_v2_3!K72,recreation_claude_v2_2!K72,recreation_claude_v2_1!K72)/COUNT(recreation_claude_v2_5!K72,recreation_claude_v2_4!K72,recreation_claude_v2_3!K72,recreation_claude_v2_2!K72,recreation_claude_v2_1!K72),0),"NA")</f>
        <v>1</v>
      </c>
      <c r="K72">
        <f>IF(AND($F72 = 1, $G72 = 1),ROUND(SUM(recreation_claude_v2_5!L72,recreation_claude_v2_4!L72,recreation_claude_v2_3!L72,recreation_claude_v2_2!L72,recreation_claude_v2_1!L72)/COUNT(recreation_claude_v2_5!L72,recreation_claude_v2_4!L72,recreation_claude_v2_3!L72,recreation_claude_v2_2!L72,recreation_claude_v2_1!L72),0),"NA")</f>
        <v>1</v>
      </c>
      <c r="L72">
        <f>IF($E72 = 1,ROUND(SUM(recreation_claude_v2_5!L72,recreation_claude_v2_4!L72,recreation_claude_v2_3!L72,recreation_claude_v2_2!L72,recreation_claude_v2_1!L72)/COUNT(recreation_claude_v2_5!L72,recreation_claude_v2_4!L72,recreation_claude_v2_3!L72,recreation_claude_v2_2!L72,recreation_claude_v2_1!L72),0),"NA")</f>
        <v>1</v>
      </c>
      <c r="M72">
        <f>IF($E72 = 1,ROUND(SUM(recreation_claude_v2_5!M72,recreation_claude_v2_4!M72,recreation_claude_v2_3!M72,recreation_claude_v2_2!M72,recreation_claude_v2_1!M72)/COUNT(recreation_claude_v2_5!M72,recreation_claude_v2_4!M72,recreation_claude_v2_3!M72,recreation_claude_v2_2!M72,recreation_claude_v2_1!M72),0),"NA")</f>
        <v>1</v>
      </c>
      <c r="N72">
        <f>IF($E72 = 1,ROUND(SUM(recreation_claude_v2_5!N72,recreation_claude_v2_4!N72,recreation_claude_v2_3!N72,recreation_claude_v2_2!N72,recreation_claude_v2_1!N72)/COUNT(recreation_claude_v2_5!N72,recreation_claude_v2_4!N72,recreation_claude_v2_3!N72,recreation_claude_v2_2!N72,recreation_claude_v2_1!N72),0),"NA")</f>
        <v>1</v>
      </c>
      <c r="O72">
        <f>IF($E72 = 1,ROUND(SUM(recreation_claude_v2_5!O72,recreation_claude_v2_4!O72,recreation_claude_v2_3!O72,recreation_claude_v2_2!O72,recreation_claude_v2_1!O72)/COUNT(recreation_claude_v2_5!O72,recreation_claude_v2_4!O72,recreation_claude_v2_3!O72,recreation_claude_v2_2!O72,recreation_claude_v2_1!O72),0),"NA")</f>
        <v>1</v>
      </c>
    </row>
    <row r="73" spans="1:15" x14ac:dyDescent="0.25">
      <c r="A73" t="s">
        <v>92</v>
      </c>
      <c r="B73" t="s">
        <v>46</v>
      </c>
      <c r="C73">
        <v>0</v>
      </c>
      <c r="D73">
        <v>10.042344331741329</v>
      </c>
      <c r="E73">
        <f>ROUND(SUM(recreation_claude_v2_5!E73,recreation_claude_v2_4!E73,recreation_claude_v2_3!E73,recreation_claude_v2_2!E73,recreation_claude_v2_1!E73)/COUNT(recreation_claude_v2_5!E73,recreation_claude_v2_4!E73,recreation_claude_v2_3!E73,recreation_claude_v2_2!E73,recreation_claude_v2_1!E73),0)</f>
        <v>1</v>
      </c>
      <c r="F73">
        <f>IF($E73 = 1,ROUND(SUM(recreation_claude_v2_5!F73,recreation_claude_v2_4!F73,recreation_claude_v2_3!F73,recreation_claude_v2_2!F73,recreation_claude_v2_1!F73)/COUNT(recreation_claude_v2_5!F73,recreation_claude_v2_4!F73,recreation_claude_v2_3!F73,recreation_claude_v2_2!F73,recreation_claude_v2_1!F73),0),"NA")</f>
        <v>1</v>
      </c>
      <c r="G73">
        <f>IF($E73 = 1,ROUND(SUM(recreation_claude_v2_5!G73,recreation_claude_v2_4!G73,recreation_claude_v2_3!G73,recreation_claude_v2_2!G73,recreation_claude_v2_1!G73)/COUNT(recreation_claude_v2_5!G73,recreation_claude_v2_4!G73,recreation_claude_v2_3!G73,recreation_claude_v2_2!G73,recreation_claude_v2_1!G73),0),"NA")</f>
        <v>1</v>
      </c>
      <c r="H73">
        <f>IF($E73 = 1,ROUND(SUM(recreation_claude_v2_5!I73,recreation_claude_v2_4!I73,recreation_claude_v2_3!I73,recreation_claude_v2_2!I73,recreation_claude_v2_1!I73)/COUNT(recreation_claude_v2_5!I73,recreation_claude_v2_4!I73,recreation_claude_v2_3!I73,recreation_claude_v2_2!I73,recreation_claude_v2_1!I73),0),"NA")</f>
        <v>1</v>
      </c>
      <c r="I73">
        <f>IF($F73 = 1,ROUND(SUM(recreation_claude_v2_5!J73,recreation_claude_v2_4!J73,recreation_claude_v2_3!J73,recreation_claude_v2_2!J73,recreation_claude_v2_1!J73)/COUNT(recreation_claude_v2_5!J73,recreation_claude_v2_4!J73,recreation_claude_v2_3!J73,recreation_claude_v2_2!J73,recreation_claude_v2_1!J73),0),"NA")</f>
        <v>1</v>
      </c>
      <c r="J73">
        <f>IF($E73 = 1,ROUND(SUM(recreation_claude_v2_5!K73,recreation_claude_v2_4!K73,recreation_claude_v2_3!K73,recreation_claude_v2_2!K73,recreation_claude_v2_1!K73)/COUNT(recreation_claude_v2_5!K73,recreation_claude_v2_4!K73,recreation_claude_v2_3!K73,recreation_claude_v2_2!K73,recreation_claude_v2_1!K73),0),"NA")</f>
        <v>1</v>
      </c>
      <c r="K73">
        <f>IF(AND($F73 = 1, $G73 = 1),ROUND(SUM(recreation_claude_v2_5!L73,recreation_claude_v2_4!L73,recreation_claude_v2_3!L73,recreation_claude_v2_2!L73,recreation_claude_v2_1!L73)/COUNT(recreation_claude_v2_5!L73,recreation_claude_v2_4!L73,recreation_claude_v2_3!L73,recreation_claude_v2_2!L73,recreation_claude_v2_1!L73),0),"NA")</f>
        <v>1</v>
      </c>
      <c r="L73">
        <f>IF($E73 = 1,ROUND(SUM(recreation_claude_v2_5!L73,recreation_claude_v2_4!L73,recreation_claude_v2_3!L73,recreation_claude_v2_2!L73,recreation_claude_v2_1!L73)/COUNT(recreation_claude_v2_5!L73,recreation_claude_v2_4!L73,recreation_claude_v2_3!L73,recreation_claude_v2_2!L73,recreation_claude_v2_1!L73),0),"NA")</f>
        <v>1</v>
      </c>
      <c r="M73">
        <f>IF($E73 = 1,ROUND(SUM(recreation_claude_v2_5!M73,recreation_claude_v2_4!M73,recreation_claude_v2_3!M73,recreation_claude_v2_2!M73,recreation_claude_v2_1!M73)/COUNT(recreation_claude_v2_5!M73,recreation_claude_v2_4!M73,recreation_claude_v2_3!M73,recreation_claude_v2_2!M73,recreation_claude_v2_1!M73),0),"NA")</f>
        <v>1</v>
      </c>
      <c r="N73">
        <f>IF($E73 = 1,ROUND(SUM(recreation_claude_v2_5!N73,recreation_claude_v2_4!N73,recreation_claude_v2_3!N73,recreation_claude_v2_2!N73,recreation_claude_v2_1!N73)/COUNT(recreation_claude_v2_5!N73,recreation_claude_v2_4!N73,recreation_claude_v2_3!N73,recreation_claude_v2_2!N73,recreation_claude_v2_1!N73),0),"NA")</f>
        <v>1</v>
      </c>
      <c r="O73">
        <f>IF($E73 = 1,ROUND(SUM(recreation_claude_v2_5!O73,recreation_claude_v2_4!O73,recreation_claude_v2_3!O73,recreation_claude_v2_2!O73,recreation_claude_v2_1!O73)/COUNT(recreation_claude_v2_5!O73,recreation_claude_v2_4!O73,recreation_claude_v2_3!O73,recreation_claude_v2_2!O73,recreation_claude_v2_1!O73),0),"NA")</f>
        <v>1</v>
      </c>
    </row>
    <row r="74" spans="1:15" x14ac:dyDescent="0.25">
      <c r="A74" t="s">
        <v>92</v>
      </c>
      <c r="B74" t="s">
        <v>47</v>
      </c>
      <c r="C74">
        <v>0</v>
      </c>
      <c r="D74">
        <v>8.4212837219238281</v>
      </c>
      <c r="E74">
        <f>ROUND(SUM(recreation_claude_v2_5!E74,recreation_claude_v2_4!E74,recreation_claude_v2_3!E74,recreation_claude_v2_2!E74,recreation_claude_v2_1!E74)/COUNT(recreation_claude_v2_5!E74,recreation_claude_v2_4!E74,recreation_claude_v2_3!E74,recreation_claude_v2_2!E74,recreation_claude_v2_1!E74),0)</f>
        <v>1</v>
      </c>
      <c r="F74">
        <f>IF($E74 = 1,ROUND(SUM(recreation_claude_v2_5!F74,recreation_claude_v2_4!F74,recreation_claude_v2_3!F74,recreation_claude_v2_2!F74,recreation_claude_v2_1!F74)/COUNT(recreation_claude_v2_5!F74,recreation_claude_v2_4!F74,recreation_claude_v2_3!F74,recreation_claude_v2_2!F74,recreation_claude_v2_1!F74),0),"NA")</f>
        <v>1</v>
      </c>
      <c r="G74">
        <f>IF($E74 = 1,ROUND(SUM(recreation_claude_v2_5!G74,recreation_claude_v2_4!G74,recreation_claude_v2_3!G74,recreation_claude_v2_2!G74,recreation_claude_v2_1!G74)/COUNT(recreation_claude_v2_5!G74,recreation_claude_v2_4!G74,recreation_claude_v2_3!G74,recreation_claude_v2_2!G74,recreation_claude_v2_1!G74),0),"NA")</f>
        <v>1</v>
      </c>
      <c r="H74">
        <f>IF($E74 = 1,ROUND(SUM(recreation_claude_v2_5!I74,recreation_claude_v2_4!I74,recreation_claude_v2_3!I74,recreation_claude_v2_2!I74,recreation_claude_v2_1!I74)/COUNT(recreation_claude_v2_5!I74,recreation_claude_v2_4!I74,recreation_claude_v2_3!I74,recreation_claude_v2_2!I74,recreation_claude_v2_1!I74),0),"NA")</f>
        <v>1</v>
      </c>
      <c r="I74">
        <f>IF($F74 = 1,ROUND(SUM(recreation_claude_v2_5!J74,recreation_claude_v2_4!J74,recreation_claude_v2_3!J74,recreation_claude_v2_2!J74,recreation_claude_v2_1!J74)/COUNT(recreation_claude_v2_5!J74,recreation_claude_v2_4!J74,recreation_claude_v2_3!J74,recreation_claude_v2_2!J74,recreation_claude_v2_1!J74),0),"NA")</f>
        <v>1</v>
      </c>
      <c r="J74">
        <f>IF($E74 = 1,ROUND(SUM(recreation_claude_v2_5!K74,recreation_claude_v2_4!K74,recreation_claude_v2_3!K74,recreation_claude_v2_2!K74,recreation_claude_v2_1!K74)/COUNT(recreation_claude_v2_5!K74,recreation_claude_v2_4!K74,recreation_claude_v2_3!K74,recreation_claude_v2_2!K74,recreation_claude_v2_1!K74),0),"NA")</f>
        <v>1</v>
      </c>
      <c r="K74">
        <f>IF(AND($F74 = 1, $G74 = 1),ROUND(SUM(recreation_claude_v2_5!L74,recreation_claude_v2_4!L74,recreation_claude_v2_3!L74,recreation_claude_v2_2!L74,recreation_claude_v2_1!L74)/COUNT(recreation_claude_v2_5!L74,recreation_claude_v2_4!L74,recreation_claude_v2_3!L74,recreation_claude_v2_2!L74,recreation_claude_v2_1!L74),0),"NA")</f>
        <v>1</v>
      </c>
      <c r="L74">
        <f>IF($E74 = 1,ROUND(SUM(recreation_claude_v2_5!L74,recreation_claude_v2_4!L74,recreation_claude_v2_3!L74,recreation_claude_v2_2!L74,recreation_claude_v2_1!L74)/COUNT(recreation_claude_v2_5!L74,recreation_claude_v2_4!L74,recreation_claude_v2_3!L74,recreation_claude_v2_2!L74,recreation_claude_v2_1!L74),0),"NA")</f>
        <v>1</v>
      </c>
      <c r="M74">
        <f>IF($E74 = 1,ROUND(SUM(recreation_claude_v2_5!M74,recreation_claude_v2_4!M74,recreation_claude_v2_3!M74,recreation_claude_v2_2!M74,recreation_claude_v2_1!M74)/COUNT(recreation_claude_v2_5!M74,recreation_claude_v2_4!M74,recreation_claude_v2_3!M74,recreation_claude_v2_2!M74,recreation_claude_v2_1!M74),0),"NA")</f>
        <v>1</v>
      </c>
      <c r="N74">
        <f>IF($E74 = 1,ROUND(SUM(recreation_claude_v2_5!N74,recreation_claude_v2_4!N74,recreation_claude_v2_3!N74,recreation_claude_v2_2!N74,recreation_claude_v2_1!N74)/COUNT(recreation_claude_v2_5!N74,recreation_claude_v2_4!N74,recreation_claude_v2_3!N74,recreation_claude_v2_2!N74,recreation_claude_v2_1!N74),0),"NA")</f>
        <v>1</v>
      </c>
      <c r="O74">
        <f>IF($E74 = 1,ROUND(SUM(recreation_claude_v2_5!O74,recreation_claude_v2_4!O74,recreation_claude_v2_3!O74,recreation_claude_v2_2!O74,recreation_claude_v2_1!O74)/COUNT(recreation_claude_v2_5!O74,recreation_claude_v2_4!O74,recreation_claude_v2_3!O74,recreation_claude_v2_2!O74,recreation_claude_v2_1!O74),0),"NA")</f>
        <v>1</v>
      </c>
    </row>
    <row r="75" spans="1:15" x14ac:dyDescent="0.25">
      <c r="A75" t="s">
        <v>92</v>
      </c>
      <c r="B75" t="s">
        <v>48</v>
      </c>
      <c r="C75">
        <v>0</v>
      </c>
      <c r="D75">
        <v>10.591740846633909</v>
      </c>
      <c r="E75">
        <f>ROUND(SUM(recreation_claude_v2_5!E75,recreation_claude_v2_4!E75,recreation_claude_v2_3!E75,recreation_claude_v2_2!E75,recreation_claude_v2_1!E75)/COUNT(recreation_claude_v2_5!E75,recreation_claude_v2_4!E75,recreation_claude_v2_3!E75,recreation_claude_v2_2!E75,recreation_claude_v2_1!E75),0)</f>
        <v>1</v>
      </c>
      <c r="F75">
        <f>IF($E75 = 1,ROUND(SUM(recreation_claude_v2_5!F75,recreation_claude_v2_4!F75,recreation_claude_v2_3!F75,recreation_claude_v2_2!F75,recreation_claude_v2_1!F75)/COUNT(recreation_claude_v2_5!F75,recreation_claude_v2_4!F75,recreation_claude_v2_3!F75,recreation_claude_v2_2!F75,recreation_claude_v2_1!F75),0),"NA")</f>
        <v>1</v>
      </c>
      <c r="G75">
        <f>IF($E75 = 1,ROUND(SUM(recreation_claude_v2_5!G75,recreation_claude_v2_4!G75,recreation_claude_v2_3!G75,recreation_claude_v2_2!G75,recreation_claude_v2_1!G75)/COUNT(recreation_claude_v2_5!G75,recreation_claude_v2_4!G75,recreation_claude_v2_3!G75,recreation_claude_v2_2!G75,recreation_claude_v2_1!G75),0),"NA")</f>
        <v>0</v>
      </c>
      <c r="H75">
        <f>IF($E75 = 1,ROUND(SUM(recreation_claude_v2_5!I75,recreation_claude_v2_4!I75,recreation_claude_v2_3!I75,recreation_claude_v2_2!I75,recreation_claude_v2_1!I75)/COUNT(recreation_claude_v2_5!I75,recreation_claude_v2_4!I75,recreation_claude_v2_3!I75,recreation_claude_v2_2!I75,recreation_claude_v2_1!I75),0),"NA")</f>
        <v>1</v>
      </c>
      <c r="I75">
        <f>IF($F75 = 1,ROUND(SUM(recreation_claude_v2_5!J75,recreation_claude_v2_4!J75,recreation_claude_v2_3!J75,recreation_claude_v2_2!J75,recreation_claude_v2_1!J75)/COUNT(recreation_claude_v2_5!J75,recreation_claude_v2_4!J75,recreation_claude_v2_3!J75,recreation_claude_v2_2!J75,recreation_claude_v2_1!J75),0),"NA")</f>
        <v>1</v>
      </c>
      <c r="J75">
        <f>IF($E75 = 1,ROUND(SUM(recreation_claude_v2_5!K75,recreation_claude_v2_4!K75,recreation_claude_v2_3!K75,recreation_claude_v2_2!K75,recreation_claude_v2_1!K75)/COUNT(recreation_claude_v2_5!K75,recreation_claude_v2_4!K75,recreation_claude_v2_3!K75,recreation_claude_v2_2!K75,recreation_claude_v2_1!K75),0),"NA")</f>
        <v>1</v>
      </c>
      <c r="K75" t="str">
        <f>IF(AND($F75 = 1, $G75 = 1),ROUND(SUM(recreation_claude_v2_5!L75,recreation_claude_v2_4!L75,recreation_claude_v2_3!L75,recreation_claude_v2_2!L75,recreation_claude_v2_1!L75)/COUNT(recreation_claude_v2_5!L75,recreation_claude_v2_4!L75,recreation_claude_v2_3!L75,recreation_claude_v2_2!L75,recreation_claude_v2_1!L75),0),"NA")</f>
        <v>NA</v>
      </c>
      <c r="L75">
        <f>IF($E75 = 1,ROUND(SUM(recreation_claude_v2_5!L75,recreation_claude_v2_4!L75,recreation_claude_v2_3!L75,recreation_claude_v2_2!L75,recreation_claude_v2_1!L75)/COUNT(recreation_claude_v2_5!L75,recreation_claude_v2_4!L75,recreation_claude_v2_3!L75,recreation_claude_v2_2!L75,recreation_claude_v2_1!L75),0),"NA")</f>
        <v>1</v>
      </c>
      <c r="M75">
        <f>IF($E75 = 1,ROUND(SUM(recreation_claude_v2_5!M75,recreation_claude_v2_4!M75,recreation_claude_v2_3!M75,recreation_claude_v2_2!M75,recreation_claude_v2_1!M75)/COUNT(recreation_claude_v2_5!M75,recreation_claude_v2_4!M75,recreation_claude_v2_3!M75,recreation_claude_v2_2!M75,recreation_claude_v2_1!M75),0),"NA")</f>
        <v>1</v>
      </c>
      <c r="N75">
        <f>IF($E75 = 1,ROUND(SUM(recreation_claude_v2_5!N75,recreation_claude_v2_4!N75,recreation_claude_v2_3!N75,recreation_claude_v2_2!N75,recreation_claude_v2_1!N75)/COUNT(recreation_claude_v2_5!N75,recreation_claude_v2_4!N75,recreation_claude_v2_3!N75,recreation_claude_v2_2!N75,recreation_claude_v2_1!N75),0),"NA")</f>
        <v>1</v>
      </c>
      <c r="O75">
        <f>IF($E75 = 1,ROUND(SUM(recreation_claude_v2_5!O75,recreation_claude_v2_4!O75,recreation_claude_v2_3!O75,recreation_claude_v2_2!O75,recreation_claude_v2_1!O75)/COUNT(recreation_claude_v2_5!O75,recreation_claude_v2_4!O75,recreation_claude_v2_3!O75,recreation_claude_v2_2!O75,recreation_claude_v2_1!O75),0),"NA")</f>
        <v>1</v>
      </c>
    </row>
    <row r="76" spans="1:15" x14ac:dyDescent="0.25">
      <c r="A76" t="s">
        <v>92</v>
      </c>
      <c r="B76" t="s">
        <v>49</v>
      </c>
      <c r="C76">
        <v>0</v>
      </c>
      <c r="D76">
        <v>10.02419376373291</v>
      </c>
      <c r="E76">
        <f>ROUND(SUM(recreation_claude_v2_5!E76,recreation_claude_v2_4!E76,recreation_claude_v2_3!E76,recreation_claude_v2_2!E76,recreation_claude_v2_1!E76)/COUNT(recreation_claude_v2_5!E76,recreation_claude_v2_4!E76,recreation_claude_v2_3!E76,recreation_claude_v2_2!E76,recreation_claude_v2_1!E76),0)</f>
        <v>1</v>
      </c>
      <c r="F76">
        <f>IF($E76 = 1,ROUND(SUM(recreation_claude_v2_5!F76,recreation_claude_v2_4!F76,recreation_claude_v2_3!F76,recreation_claude_v2_2!F76,recreation_claude_v2_1!F76)/COUNT(recreation_claude_v2_5!F76,recreation_claude_v2_4!F76,recreation_claude_v2_3!F76,recreation_claude_v2_2!F76,recreation_claude_v2_1!F76),0),"NA")</f>
        <v>1</v>
      </c>
      <c r="G76">
        <f>IF($E76 = 1,ROUND(SUM(recreation_claude_v2_5!G76,recreation_claude_v2_4!G76,recreation_claude_v2_3!G76,recreation_claude_v2_2!G76,recreation_claude_v2_1!G76)/COUNT(recreation_claude_v2_5!G76,recreation_claude_v2_4!G76,recreation_claude_v2_3!G76,recreation_claude_v2_2!G76,recreation_claude_v2_1!G76),0),"NA")</f>
        <v>1</v>
      </c>
      <c r="H76">
        <f>IF($E76 = 1,ROUND(SUM(recreation_claude_v2_5!I76,recreation_claude_v2_4!I76,recreation_claude_v2_3!I76,recreation_claude_v2_2!I76,recreation_claude_v2_1!I76)/COUNT(recreation_claude_v2_5!I76,recreation_claude_v2_4!I76,recreation_claude_v2_3!I76,recreation_claude_v2_2!I76,recreation_claude_v2_1!I76),0),"NA")</f>
        <v>1</v>
      </c>
      <c r="I76">
        <f>IF($F76 = 1,ROUND(SUM(recreation_claude_v2_5!J76,recreation_claude_v2_4!J76,recreation_claude_v2_3!J76,recreation_claude_v2_2!J76,recreation_claude_v2_1!J76)/COUNT(recreation_claude_v2_5!J76,recreation_claude_v2_4!J76,recreation_claude_v2_3!J76,recreation_claude_v2_2!J76,recreation_claude_v2_1!J76),0),"NA")</f>
        <v>1</v>
      </c>
      <c r="J76">
        <f>IF($E76 = 1,ROUND(SUM(recreation_claude_v2_5!K76,recreation_claude_v2_4!K76,recreation_claude_v2_3!K76,recreation_claude_v2_2!K76,recreation_claude_v2_1!K76)/COUNT(recreation_claude_v2_5!K76,recreation_claude_v2_4!K76,recreation_claude_v2_3!K76,recreation_claude_v2_2!K76,recreation_claude_v2_1!K76),0),"NA")</f>
        <v>1</v>
      </c>
      <c r="K76">
        <f>IF(AND($F76 = 1, $G76 = 1),ROUND(SUM(recreation_claude_v2_5!L76,recreation_claude_v2_4!L76,recreation_claude_v2_3!L76,recreation_claude_v2_2!L76,recreation_claude_v2_1!L76)/COUNT(recreation_claude_v2_5!L76,recreation_claude_v2_4!L76,recreation_claude_v2_3!L76,recreation_claude_v2_2!L76,recreation_claude_v2_1!L76),0),"NA")</f>
        <v>1</v>
      </c>
      <c r="L76">
        <f>IF($E76 = 1,ROUND(SUM(recreation_claude_v2_5!L76,recreation_claude_v2_4!L76,recreation_claude_v2_3!L76,recreation_claude_v2_2!L76,recreation_claude_v2_1!L76)/COUNT(recreation_claude_v2_5!L76,recreation_claude_v2_4!L76,recreation_claude_v2_3!L76,recreation_claude_v2_2!L76,recreation_claude_v2_1!L76),0),"NA")</f>
        <v>1</v>
      </c>
      <c r="M76">
        <f>IF($E76 = 1,ROUND(SUM(recreation_claude_v2_5!M76,recreation_claude_v2_4!M76,recreation_claude_v2_3!M76,recreation_claude_v2_2!M76,recreation_claude_v2_1!M76)/COUNT(recreation_claude_v2_5!M76,recreation_claude_v2_4!M76,recreation_claude_v2_3!M76,recreation_claude_v2_2!M76,recreation_claude_v2_1!M76),0),"NA")</f>
        <v>1</v>
      </c>
      <c r="N76">
        <f>IF($E76 = 1,ROUND(SUM(recreation_claude_v2_5!N76,recreation_claude_v2_4!N76,recreation_claude_v2_3!N76,recreation_claude_v2_2!N76,recreation_claude_v2_1!N76)/COUNT(recreation_claude_v2_5!N76,recreation_claude_v2_4!N76,recreation_claude_v2_3!N76,recreation_claude_v2_2!N76,recreation_claude_v2_1!N76),0),"NA")</f>
        <v>1</v>
      </c>
      <c r="O76">
        <f>IF($E76 = 1,ROUND(SUM(recreation_claude_v2_5!O76,recreation_claude_v2_4!O76,recreation_claude_v2_3!O76,recreation_claude_v2_2!O76,recreation_claude_v2_1!O76)/COUNT(recreation_claude_v2_5!O76,recreation_claude_v2_4!O76,recreation_claude_v2_3!O76,recreation_claude_v2_2!O76,recreation_claude_v2_1!O76),0),"NA")</f>
        <v>1</v>
      </c>
    </row>
    <row r="77" spans="1:15" x14ac:dyDescent="0.25">
      <c r="A77" t="s">
        <v>92</v>
      </c>
      <c r="B77" t="s">
        <v>51</v>
      </c>
      <c r="C77">
        <v>0</v>
      </c>
      <c r="D77">
        <v>4.7047438621520996</v>
      </c>
      <c r="E77">
        <f>ROUND(SUM(recreation_claude_v2_5!E77,recreation_claude_v2_4!E77,recreation_claude_v2_3!E77,recreation_claude_v2_2!E77,recreation_claude_v2_1!E77)/COUNT(recreation_claude_v2_5!E77,recreation_claude_v2_4!E77,recreation_claude_v2_3!E77,recreation_claude_v2_2!E77,recreation_claude_v2_1!E77),0)</f>
        <v>1</v>
      </c>
      <c r="F77">
        <f>IF($E77 = 1,ROUND(SUM(recreation_claude_v2_5!F77,recreation_claude_v2_4!F77,recreation_claude_v2_3!F77,recreation_claude_v2_2!F77,recreation_claude_v2_1!F77)/COUNT(recreation_claude_v2_5!F77,recreation_claude_v2_4!F77,recreation_claude_v2_3!F77,recreation_claude_v2_2!F77,recreation_claude_v2_1!F77),0),"NA")</f>
        <v>0</v>
      </c>
      <c r="G77">
        <f>IF($E77 = 1,ROUND(SUM(recreation_claude_v2_5!G77,recreation_claude_v2_4!G77,recreation_claude_v2_3!G77,recreation_claude_v2_2!G77,recreation_claude_v2_1!G77)/COUNT(recreation_claude_v2_5!G77,recreation_claude_v2_4!G77,recreation_claude_v2_3!G77,recreation_claude_v2_2!G77,recreation_claude_v2_1!G77),0),"NA")</f>
        <v>1</v>
      </c>
      <c r="H77">
        <f>IF($E77 = 1,ROUND(SUM(recreation_claude_v2_5!I77,recreation_claude_v2_4!I77,recreation_claude_v2_3!I77,recreation_claude_v2_2!I77,recreation_claude_v2_1!I77)/COUNT(recreation_claude_v2_5!I77,recreation_claude_v2_4!I77,recreation_claude_v2_3!I77,recreation_claude_v2_2!I77,recreation_claude_v2_1!I77),0),"NA")</f>
        <v>1</v>
      </c>
      <c r="I77" t="str">
        <f>IF($F77 = 1,ROUND(SUM(recreation_claude_v2_5!J77,recreation_claude_v2_4!J77,recreation_claude_v2_3!J77,recreation_claude_v2_2!J77,recreation_claude_v2_1!J77)/COUNT(recreation_claude_v2_5!J77,recreation_claude_v2_4!J77,recreation_claude_v2_3!J77,recreation_claude_v2_2!J77,recreation_claude_v2_1!J77),0),"NA")</f>
        <v>NA</v>
      </c>
      <c r="J77">
        <f>IF($E77 = 1,ROUND(SUM(recreation_claude_v2_5!K77,recreation_claude_v2_4!K77,recreation_claude_v2_3!K77,recreation_claude_v2_2!K77,recreation_claude_v2_1!K77)/COUNT(recreation_claude_v2_5!K77,recreation_claude_v2_4!K77,recreation_claude_v2_3!K77,recreation_claude_v2_2!K77,recreation_claude_v2_1!K77),0),"NA")</f>
        <v>1</v>
      </c>
      <c r="K77" t="str">
        <f>IF(AND($F77 = 1, $G77 = 1),ROUND(SUM(recreation_claude_v2_5!L77,recreation_claude_v2_4!L77,recreation_claude_v2_3!L77,recreation_claude_v2_2!L77,recreation_claude_v2_1!L77)/COUNT(recreation_claude_v2_5!L77,recreation_claude_v2_4!L77,recreation_claude_v2_3!L77,recreation_claude_v2_2!L77,recreation_claude_v2_1!L77),0),"NA")</f>
        <v>NA</v>
      </c>
      <c r="L77">
        <f>IF($E77 = 1,ROUND(SUM(recreation_claude_v2_5!L77,recreation_claude_v2_4!L77,recreation_claude_v2_3!L77,recreation_claude_v2_2!L77,recreation_claude_v2_1!L77)/COUNT(recreation_claude_v2_5!L77,recreation_claude_v2_4!L77,recreation_claude_v2_3!L77,recreation_claude_v2_2!L77,recreation_claude_v2_1!L77),0),"NA")</f>
        <v>1</v>
      </c>
      <c r="M77">
        <f>IF($E77 = 1,ROUND(SUM(recreation_claude_v2_5!M77,recreation_claude_v2_4!M77,recreation_claude_v2_3!M77,recreation_claude_v2_2!M77,recreation_claude_v2_1!M77)/COUNT(recreation_claude_v2_5!M77,recreation_claude_v2_4!M77,recreation_claude_v2_3!M77,recreation_claude_v2_2!M77,recreation_claude_v2_1!M77),0),"NA")</f>
        <v>1</v>
      </c>
      <c r="N77">
        <f>IF($E77 = 1,ROUND(SUM(recreation_claude_v2_5!N77,recreation_claude_v2_4!N77,recreation_claude_v2_3!N77,recreation_claude_v2_2!N77,recreation_claude_v2_1!N77)/COUNT(recreation_claude_v2_5!N77,recreation_claude_v2_4!N77,recreation_claude_v2_3!N77,recreation_claude_v2_2!N77,recreation_claude_v2_1!N77),0),"NA")</f>
        <v>1</v>
      </c>
      <c r="O77">
        <f>IF($E77 = 1,ROUND(SUM(recreation_claude_v2_5!O77,recreation_claude_v2_4!O77,recreation_claude_v2_3!O77,recreation_claude_v2_2!O77,recreation_claude_v2_1!O77)/COUNT(recreation_claude_v2_5!O77,recreation_claude_v2_4!O77,recreation_claude_v2_3!O77,recreation_claude_v2_2!O77,recreation_claude_v2_1!O77),0),"NA")</f>
        <v>1</v>
      </c>
    </row>
    <row r="78" spans="1:15" x14ac:dyDescent="0.25">
      <c r="A78" t="s">
        <v>92</v>
      </c>
      <c r="B78" t="s">
        <v>53</v>
      </c>
      <c r="C78">
        <v>0</v>
      </c>
      <c r="D78">
        <v>4.5652730464935303</v>
      </c>
      <c r="E78">
        <f>ROUND(SUM(recreation_claude_v2_5!E78,recreation_claude_v2_4!E78,recreation_claude_v2_3!E78,recreation_claude_v2_2!E78,recreation_claude_v2_1!E78)/COUNT(recreation_claude_v2_5!E78,recreation_claude_v2_4!E78,recreation_claude_v2_3!E78,recreation_claude_v2_2!E78,recreation_claude_v2_1!E78),0)</f>
        <v>1</v>
      </c>
      <c r="F78">
        <f>IF($E78 = 1,ROUND(SUM(recreation_claude_v2_5!F78,recreation_claude_v2_4!F78,recreation_claude_v2_3!F78,recreation_claude_v2_2!F78,recreation_claude_v2_1!F78)/COUNT(recreation_claude_v2_5!F78,recreation_claude_v2_4!F78,recreation_claude_v2_3!F78,recreation_claude_v2_2!F78,recreation_claude_v2_1!F78),0),"NA")</f>
        <v>0</v>
      </c>
      <c r="G78">
        <f>IF($E78 = 1,ROUND(SUM(recreation_claude_v2_5!G78,recreation_claude_v2_4!G78,recreation_claude_v2_3!G78,recreation_claude_v2_2!G78,recreation_claude_v2_1!G78)/COUNT(recreation_claude_v2_5!G78,recreation_claude_v2_4!G78,recreation_claude_v2_3!G78,recreation_claude_v2_2!G78,recreation_claude_v2_1!G78),0),"NA")</f>
        <v>1</v>
      </c>
      <c r="H78">
        <f>IF($E78 = 1,ROUND(SUM(recreation_claude_v2_5!I78,recreation_claude_v2_4!I78,recreation_claude_v2_3!I78,recreation_claude_v2_2!I78,recreation_claude_v2_1!I78)/COUNT(recreation_claude_v2_5!I78,recreation_claude_v2_4!I78,recreation_claude_v2_3!I78,recreation_claude_v2_2!I78,recreation_claude_v2_1!I78),0),"NA")</f>
        <v>1</v>
      </c>
      <c r="I78" t="str">
        <f>IF($F78 = 1,ROUND(SUM(recreation_claude_v2_5!J78,recreation_claude_v2_4!J78,recreation_claude_v2_3!J78,recreation_claude_v2_2!J78,recreation_claude_v2_1!J78)/COUNT(recreation_claude_v2_5!J78,recreation_claude_v2_4!J78,recreation_claude_v2_3!J78,recreation_claude_v2_2!J78,recreation_claude_v2_1!J78),0),"NA")</f>
        <v>NA</v>
      </c>
      <c r="J78">
        <f>IF($E78 = 1,ROUND(SUM(recreation_claude_v2_5!K78,recreation_claude_v2_4!K78,recreation_claude_v2_3!K78,recreation_claude_v2_2!K78,recreation_claude_v2_1!K78)/COUNT(recreation_claude_v2_5!K78,recreation_claude_v2_4!K78,recreation_claude_v2_3!K78,recreation_claude_v2_2!K78,recreation_claude_v2_1!K78),0),"NA")</f>
        <v>1</v>
      </c>
      <c r="K78" t="str">
        <f>IF(AND($F78 = 1, $G78 = 1),ROUND(SUM(recreation_claude_v2_5!L78,recreation_claude_v2_4!L78,recreation_claude_v2_3!L78,recreation_claude_v2_2!L78,recreation_claude_v2_1!L78)/COUNT(recreation_claude_v2_5!L78,recreation_claude_v2_4!L78,recreation_claude_v2_3!L78,recreation_claude_v2_2!L78,recreation_claude_v2_1!L78),0),"NA")</f>
        <v>NA</v>
      </c>
      <c r="L78">
        <f>IF($E78 = 1,ROUND(SUM(recreation_claude_v2_5!L78,recreation_claude_v2_4!L78,recreation_claude_v2_3!L78,recreation_claude_v2_2!L78,recreation_claude_v2_1!L78)/COUNT(recreation_claude_v2_5!L78,recreation_claude_v2_4!L78,recreation_claude_v2_3!L78,recreation_claude_v2_2!L78,recreation_claude_v2_1!L78),0),"NA")</f>
        <v>1</v>
      </c>
      <c r="M78">
        <f>IF($E78 = 1,ROUND(SUM(recreation_claude_v2_5!M78,recreation_claude_v2_4!M78,recreation_claude_v2_3!M78,recreation_claude_v2_2!M78,recreation_claude_v2_1!M78)/COUNT(recreation_claude_v2_5!M78,recreation_claude_v2_4!M78,recreation_claude_v2_3!M78,recreation_claude_v2_2!M78,recreation_claude_v2_1!M78),0),"NA")</f>
        <v>1</v>
      </c>
      <c r="N78">
        <f>IF($E78 = 1,ROUND(SUM(recreation_claude_v2_5!N78,recreation_claude_v2_4!N78,recreation_claude_v2_3!N78,recreation_claude_v2_2!N78,recreation_claude_v2_1!N78)/COUNT(recreation_claude_v2_5!N78,recreation_claude_v2_4!N78,recreation_claude_v2_3!N78,recreation_claude_v2_2!N78,recreation_claude_v2_1!N78),0),"NA")</f>
        <v>1</v>
      </c>
      <c r="O78">
        <f>IF($E78 = 1,ROUND(SUM(recreation_claude_v2_5!O78,recreation_claude_v2_4!O78,recreation_claude_v2_3!O78,recreation_claude_v2_2!O78,recreation_claude_v2_1!O78)/COUNT(recreation_claude_v2_5!O78,recreation_claude_v2_4!O78,recreation_claude_v2_3!O78,recreation_claude_v2_2!O78,recreation_claude_v2_1!O78),0),"NA")</f>
        <v>1</v>
      </c>
    </row>
    <row r="79" spans="1:15" x14ac:dyDescent="0.25">
      <c r="A79" t="s">
        <v>92</v>
      </c>
      <c r="B79" t="s">
        <v>54</v>
      </c>
      <c r="C79">
        <v>0</v>
      </c>
      <c r="D79">
        <v>7.3940613269805908</v>
      </c>
      <c r="E79">
        <f>ROUND(SUM(recreation_claude_v2_5!E79,recreation_claude_v2_4!E79,recreation_claude_v2_3!E79,recreation_claude_v2_2!E79,recreation_claude_v2_1!E79)/COUNT(recreation_claude_v2_5!E79,recreation_claude_v2_4!E79,recreation_claude_v2_3!E79,recreation_claude_v2_2!E79,recreation_claude_v2_1!E79),0)</f>
        <v>1</v>
      </c>
      <c r="F79">
        <f>IF($E79 = 1,ROUND(SUM(recreation_claude_v2_5!F79,recreation_claude_v2_4!F79,recreation_claude_v2_3!F79,recreation_claude_v2_2!F79,recreation_claude_v2_1!F79)/COUNT(recreation_claude_v2_5!F79,recreation_claude_v2_4!F79,recreation_claude_v2_3!F79,recreation_claude_v2_2!F79,recreation_claude_v2_1!F79),0),"NA")</f>
        <v>1</v>
      </c>
      <c r="G79">
        <f>IF($E79 = 1,ROUND(SUM(recreation_claude_v2_5!G79,recreation_claude_v2_4!G79,recreation_claude_v2_3!G79,recreation_claude_v2_2!G79,recreation_claude_v2_1!G79)/COUNT(recreation_claude_v2_5!G79,recreation_claude_v2_4!G79,recreation_claude_v2_3!G79,recreation_claude_v2_2!G79,recreation_claude_v2_1!G79),0),"NA")</f>
        <v>1</v>
      </c>
      <c r="H79">
        <f>IF($E79 = 1,ROUND(SUM(recreation_claude_v2_5!I79,recreation_claude_v2_4!I79,recreation_claude_v2_3!I79,recreation_claude_v2_2!I79,recreation_claude_v2_1!I79)/COUNT(recreation_claude_v2_5!I79,recreation_claude_v2_4!I79,recreation_claude_v2_3!I79,recreation_claude_v2_2!I79,recreation_claude_v2_1!I79),0),"NA")</f>
        <v>1</v>
      </c>
      <c r="I79">
        <f>IF($F79 = 1,ROUND(SUM(recreation_claude_v2_5!J79,recreation_claude_v2_4!J79,recreation_claude_v2_3!J79,recreation_claude_v2_2!J79,recreation_claude_v2_1!J79)/COUNT(recreation_claude_v2_5!J79,recreation_claude_v2_4!J79,recreation_claude_v2_3!J79,recreation_claude_v2_2!J79,recreation_claude_v2_1!J79),0),"NA")</f>
        <v>1</v>
      </c>
      <c r="J79">
        <f>IF($E79 = 1,ROUND(SUM(recreation_claude_v2_5!K79,recreation_claude_v2_4!K79,recreation_claude_v2_3!K79,recreation_claude_v2_2!K79,recreation_claude_v2_1!K79)/COUNT(recreation_claude_v2_5!K79,recreation_claude_v2_4!K79,recreation_claude_v2_3!K79,recreation_claude_v2_2!K79,recreation_claude_v2_1!K79),0),"NA")</f>
        <v>1</v>
      </c>
      <c r="K79">
        <f>IF(AND($F79 = 1, $G79 = 1),ROUND(SUM(recreation_claude_v2_5!L79,recreation_claude_v2_4!L79,recreation_claude_v2_3!L79,recreation_claude_v2_2!L79,recreation_claude_v2_1!L79)/COUNT(recreation_claude_v2_5!L79,recreation_claude_v2_4!L79,recreation_claude_v2_3!L79,recreation_claude_v2_2!L79,recreation_claude_v2_1!L79),0),"NA")</f>
        <v>1</v>
      </c>
      <c r="L79">
        <f>IF($E79 = 1,ROUND(SUM(recreation_claude_v2_5!L79,recreation_claude_v2_4!L79,recreation_claude_v2_3!L79,recreation_claude_v2_2!L79,recreation_claude_v2_1!L79)/COUNT(recreation_claude_v2_5!L79,recreation_claude_v2_4!L79,recreation_claude_v2_3!L79,recreation_claude_v2_2!L79,recreation_claude_v2_1!L79),0),"NA")</f>
        <v>1</v>
      </c>
      <c r="M79">
        <f>IF($E79 = 1,ROUND(SUM(recreation_claude_v2_5!M79,recreation_claude_v2_4!M79,recreation_claude_v2_3!M79,recreation_claude_v2_2!M79,recreation_claude_v2_1!M79)/COUNT(recreation_claude_v2_5!M79,recreation_claude_v2_4!M79,recreation_claude_v2_3!M79,recreation_claude_v2_2!M79,recreation_claude_v2_1!M79),0),"NA")</f>
        <v>1</v>
      </c>
      <c r="N79">
        <f>IF($E79 = 1,ROUND(SUM(recreation_claude_v2_5!N79,recreation_claude_v2_4!N79,recreation_claude_v2_3!N79,recreation_claude_v2_2!N79,recreation_claude_v2_1!N79)/COUNT(recreation_claude_v2_5!N79,recreation_claude_v2_4!N79,recreation_claude_v2_3!N79,recreation_claude_v2_2!N79,recreation_claude_v2_1!N79),0),"NA")</f>
        <v>1</v>
      </c>
      <c r="O79">
        <f>IF($E79 = 1,ROUND(SUM(recreation_claude_v2_5!O79,recreation_claude_v2_4!O79,recreation_claude_v2_3!O79,recreation_claude_v2_2!O79,recreation_claude_v2_1!O79)/COUNT(recreation_claude_v2_5!O79,recreation_claude_v2_4!O79,recreation_claude_v2_3!O79,recreation_claude_v2_2!O79,recreation_claude_v2_1!O79),0),"NA")</f>
        <v>1</v>
      </c>
    </row>
    <row r="80" spans="1:15" x14ac:dyDescent="0.25">
      <c r="A80" t="s">
        <v>92</v>
      </c>
      <c r="B80" t="s">
        <v>56</v>
      </c>
      <c r="C80">
        <v>0</v>
      </c>
      <c r="D80">
        <v>10.1266622543335</v>
      </c>
      <c r="E80">
        <f>ROUND(SUM(recreation_claude_v2_5!E80,recreation_claude_v2_4!E80,recreation_claude_v2_3!E80,recreation_claude_v2_2!E80,recreation_claude_v2_1!E80)/COUNT(recreation_claude_v2_5!E80,recreation_claude_v2_4!E80,recreation_claude_v2_3!E80,recreation_claude_v2_2!E80,recreation_claude_v2_1!E80),0)</f>
        <v>1</v>
      </c>
      <c r="F80">
        <f>IF($E80 = 1,ROUND(SUM(recreation_claude_v2_5!F80,recreation_claude_v2_4!F80,recreation_claude_v2_3!F80,recreation_claude_v2_2!F80,recreation_claude_v2_1!F80)/COUNT(recreation_claude_v2_5!F80,recreation_claude_v2_4!F80,recreation_claude_v2_3!F80,recreation_claude_v2_2!F80,recreation_claude_v2_1!F80),0),"NA")</f>
        <v>1</v>
      </c>
      <c r="G80">
        <f>IF($E80 = 1,ROUND(SUM(recreation_claude_v2_5!G80,recreation_claude_v2_4!G80,recreation_claude_v2_3!G80,recreation_claude_v2_2!G80,recreation_claude_v2_1!G80)/COUNT(recreation_claude_v2_5!G80,recreation_claude_v2_4!G80,recreation_claude_v2_3!G80,recreation_claude_v2_2!G80,recreation_claude_v2_1!G80),0),"NA")</f>
        <v>1</v>
      </c>
      <c r="H80">
        <f>IF($E80 = 1,ROUND(SUM(recreation_claude_v2_5!I80,recreation_claude_v2_4!I80,recreation_claude_v2_3!I80,recreation_claude_v2_2!I80,recreation_claude_v2_1!I80)/COUNT(recreation_claude_v2_5!I80,recreation_claude_v2_4!I80,recreation_claude_v2_3!I80,recreation_claude_v2_2!I80,recreation_claude_v2_1!I80),0),"NA")</f>
        <v>1</v>
      </c>
      <c r="I80">
        <f>IF($F80 = 1,ROUND(SUM(recreation_claude_v2_5!J80,recreation_claude_v2_4!J80,recreation_claude_v2_3!J80,recreation_claude_v2_2!J80,recreation_claude_v2_1!J80)/COUNT(recreation_claude_v2_5!J80,recreation_claude_v2_4!J80,recreation_claude_v2_3!J80,recreation_claude_v2_2!J80,recreation_claude_v2_1!J80),0),"NA")</f>
        <v>1</v>
      </c>
      <c r="J80">
        <f>IF($E80 = 1,ROUND(SUM(recreation_claude_v2_5!K80,recreation_claude_v2_4!K80,recreation_claude_v2_3!K80,recreation_claude_v2_2!K80,recreation_claude_v2_1!K80)/COUNT(recreation_claude_v2_5!K80,recreation_claude_v2_4!K80,recreation_claude_v2_3!K80,recreation_claude_v2_2!K80,recreation_claude_v2_1!K80),0),"NA")</f>
        <v>1</v>
      </c>
      <c r="K80">
        <f>IF(AND($F80 = 1, $G80 = 1),ROUND(SUM(recreation_claude_v2_5!L80,recreation_claude_v2_4!L80,recreation_claude_v2_3!L80,recreation_claude_v2_2!L80,recreation_claude_v2_1!L80)/COUNT(recreation_claude_v2_5!L80,recreation_claude_v2_4!L80,recreation_claude_v2_3!L80,recreation_claude_v2_2!L80,recreation_claude_v2_1!L80),0),"NA")</f>
        <v>1</v>
      </c>
      <c r="L80">
        <f>IF($E80 = 1,ROUND(SUM(recreation_claude_v2_5!L80,recreation_claude_v2_4!L80,recreation_claude_v2_3!L80,recreation_claude_v2_2!L80,recreation_claude_v2_1!L80)/COUNT(recreation_claude_v2_5!L80,recreation_claude_v2_4!L80,recreation_claude_v2_3!L80,recreation_claude_v2_2!L80,recreation_claude_v2_1!L80),0),"NA")</f>
        <v>1</v>
      </c>
      <c r="M80">
        <f>IF($E80 = 1,ROUND(SUM(recreation_claude_v2_5!M80,recreation_claude_v2_4!M80,recreation_claude_v2_3!M80,recreation_claude_v2_2!M80,recreation_claude_v2_1!M80)/COUNT(recreation_claude_v2_5!M80,recreation_claude_v2_4!M80,recreation_claude_v2_3!M80,recreation_claude_v2_2!M80,recreation_claude_v2_1!M80),0),"NA")</f>
        <v>1</v>
      </c>
      <c r="N80">
        <f>IF($E80 = 1,ROUND(SUM(recreation_claude_v2_5!N80,recreation_claude_v2_4!N80,recreation_claude_v2_3!N80,recreation_claude_v2_2!N80,recreation_claude_v2_1!N80)/COUNT(recreation_claude_v2_5!N80,recreation_claude_v2_4!N80,recreation_claude_v2_3!N80,recreation_claude_v2_2!N80,recreation_claude_v2_1!N80),0),"NA")</f>
        <v>1</v>
      </c>
      <c r="O80">
        <f>IF($E80 = 1,ROUND(SUM(recreation_claude_v2_5!O80,recreation_claude_v2_4!O80,recreation_claude_v2_3!O80,recreation_claude_v2_2!O80,recreation_claude_v2_1!O80)/COUNT(recreation_claude_v2_5!O80,recreation_claude_v2_4!O80,recreation_claude_v2_3!O80,recreation_claude_v2_2!O80,recreation_claude_v2_1!O80),0),"NA")</f>
        <v>1</v>
      </c>
    </row>
    <row r="81" spans="1:15" x14ac:dyDescent="0.25">
      <c r="A81" t="s">
        <v>92</v>
      </c>
      <c r="B81" t="s">
        <v>58</v>
      </c>
      <c r="C81">
        <v>0</v>
      </c>
      <c r="D81">
        <v>14.312466144561769</v>
      </c>
      <c r="E81">
        <f>ROUND(SUM(recreation_claude_v2_5!E81,recreation_claude_v2_4!E81,recreation_claude_v2_3!E81,recreation_claude_v2_2!E81,recreation_claude_v2_1!E81)/COUNT(recreation_claude_v2_5!E81,recreation_claude_v2_4!E81,recreation_claude_v2_3!E81,recreation_claude_v2_2!E81,recreation_claude_v2_1!E81),0)</f>
        <v>1</v>
      </c>
      <c r="F81">
        <f>IF($E81 = 1,ROUND(SUM(recreation_claude_v2_5!F81,recreation_claude_v2_4!F81,recreation_claude_v2_3!F81,recreation_claude_v2_2!F81,recreation_claude_v2_1!F81)/COUNT(recreation_claude_v2_5!F81,recreation_claude_v2_4!F81,recreation_claude_v2_3!F81,recreation_claude_v2_2!F81,recreation_claude_v2_1!F81),0),"NA")</f>
        <v>1</v>
      </c>
      <c r="G81">
        <f>IF($E81 = 1,ROUND(SUM(recreation_claude_v2_5!G81,recreation_claude_v2_4!G81,recreation_claude_v2_3!G81,recreation_claude_v2_2!G81,recreation_claude_v2_1!G81)/COUNT(recreation_claude_v2_5!G81,recreation_claude_v2_4!G81,recreation_claude_v2_3!G81,recreation_claude_v2_2!G81,recreation_claude_v2_1!G81),0),"NA")</f>
        <v>0</v>
      </c>
      <c r="H81">
        <f>IF($E81 = 1,ROUND(SUM(recreation_claude_v2_5!I81,recreation_claude_v2_4!I81,recreation_claude_v2_3!I81,recreation_claude_v2_2!I81,recreation_claude_v2_1!I81)/COUNT(recreation_claude_v2_5!I81,recreation_claude_v2_4!I81,recreation_claude_v2_3!I81,recreation_claude_v2_2!I81,recreation_claude_v2_1!I81),0),"NA")</f>
        <v>1</v>
      </c>
      <c r="I81">
        <f>IF($F81 = 1,ROUND(SUM(recreation_claude_v2_5!J81,recreation_claude_v2_4!J81,recreation_claude_v2_3!J81,recreation_claude_v2_2!J81,recreation_claude_v2_1!J81)/COUNT(recreation_claude_v2_5!J81,recreation_claude_v2_4!J81,recreation_claude_v2_3!J81,recreation_claude_v2_2!J81,recreation_claude_v2_1!J81),0),"NA")</f>
        <v>1</v>
      </c>
      <c r="J81">
        <f>IF($E81 = 1,ROUND(SUM(recreation_claude_v2_5!K81,recreation_claude_v2_4!K81,recreation_claude_v2_3!K81,recreation_claude_v2_2!K81,recreation_claude_v2_1!K81)/COUNT(recreation_claude_v2_5!K81,recreation_claude_v2_4!K81,recreation_claude_v2_3!K81,recreation_claude_v2_2!K81,recreation_claude_v2_1!K81),0),"NA")</f>
        <v>0</v>
      </c>
      <c r="K81" t="str">
        <f>IF(AND($F81 = 1, $G81 = 1),ROUND(SUM(recreation_claude_v2_5!L81,recreation_claude_v2_4!L81,recreation_claude_v2_3!L81,recreation_claude_v2_2!L81,recreation_claude_v2_1!L81)/COUNT(recreation_claude_v2_5!L81,recreation_claude_v2_4!L81,recreation_claude_v2_3!L81,recreation_claude_v2_2!L81,recreation_claude_v2_1!L81),0),"NA")</f>
        <v>NA</v>
      </c>
      <c r="L81">
        <f>IF($E81 = 1,ROUND(SUM(recreation_claude_v2_5!L81,recreation_claude_v2_4!L81,recreation_claude_v2_3!L81,recreation_claude_v2_2!L81,recreation_claude_v2_1!L81)/COUNT(recreation_claude_v2_5!L81,recreation_claude_v2_4!L81,recreation_claude_v2_3!L81,recreation_claude_v2_2!L81,recreation_claude_v2_1!L81),0),"NA")</f>
        <v>1</v>
      </c>
      <c r="M81">
        <f>IF($E81 = 1,ROUND(SUM(recreation_claude_v2_5!M81,recreation_claude_v2_4!M81,recreation_claude_v2_3!M81,recreation_claude_v2_2!M81,recreation_claude_v2_1!M81)/COUNT(recreation_claude_v2_5!M81,recreation_claude_v2_4!M81,recreation_claude_v2_3!M81,recreation_claude_v2_2!M81,recreation_claude_v2_1!M81),0),"NA")</f>
        <v>1</v>
      </c>
      <c r="N81">
        <f>IF($E81 = 1,ROUND(SUM(recreation_claude_v2_5!N81,recreation_claude_v2_4!N81,recreation_claude_v2_3!N81,recreation_claude_v2_2!N81,recreation_claude_v2_1!N81)/COUNT(recreation_claude_v2_5!N81,recreation_claude_v2_4!N81,recreation_claude_v2_3!N81,recreation_claude_v2_2!N81,recreation_claude_v2_1!N81),0),"NA")</f>
        <v>1</v>
      </c>
      <c r="O81">
        <f>IF($E81 = 1,ROUND(SUM(recreation_claude_v2_5!O81,recreation_claude_v2_4!O81,recreation_claude_v2_3!O81,recreation_claude_v2_2!O81,recreation_claude_v2_1!O81)/COUNT(recreation_claude_v2_5!O81,recreation_claude_v2_4!O81,recreation_claude_v2_3!O81,recreation_claude_v2_2!O81,recreation_claude_v2_1!O81),0),"NA")</f>
        <v>1</v>
      </c>
    </row>
    <row r="82" spans="1:15" x14ac:dyDescent="0.25">
      <c r="A82" t="s">
        <v>92</v>
      </c>
      <c r="B82" t="s">
        <v>60</v>
      </c>
      <c r="C82">
        <v>0</v>
      </c>
      <c r="D82">
        <v>10.863116979599001</v>
      </c>
      <c r="E82">
        <f>ROUND(SUM(recreation_claude_v2_5!E82,recreation_claude_v2_4!E82,recreation_claude_v2_3!E82,recreation_claude_v2_2!E82,recreation_claude_v2_1!E82)/COUNT(recreation_claude_v2_5!E82,recreation_claude_v2_4!E82,recreation_claude_v2_3!E82,recreation_claude_v2_2!E82,recreation_claude_v2_1!E82),0)</f>
        <v>1</v>
      </c>
      <c r="F82">
        <f>IF($E82 = 1,ROUND(SUM(recreation_claude_v2_5!F82,recreation_claude_v2_4!F82,recreation_claude_v2_3!F82,recreation_claude_v2_2!F82,recreation_claude_v2_1!F82)/COUNT(recreation_claude_v2_5!F82,recreation_claude_v2_4!F82,recreation_claude_v2_3!F82,recreation_claude_v2_2!F82,recreation_claude_v2_1!F82),0),"NA")</f>
        <v>1</v>
      </c>
      <c r="G82">
        <f>IF($E82 = 1,ROUND(SUM(recreation_claude_v2_5!G82,recreation_claude_v2_4!G82,recreation_claude_v2_3!G82,recreation_claude_v2_2!G82,recreation_claude_v2_1!G82)/COUNT(recreation_claude_v2_5!G82,recreation_claude_v2_4!G82,recreation_claude_v2_3!G82,recreation_claude_v2_2!G82,recreation_claude_v2_1!G82),0),"NA")</f>
        <v>0</v>
      </c>
      <c r="H82">
        <f>IF($E82 = 1,ROUND(SUM(recreation_claude_v2_5!I82,recreation_claude_v2_4!I82,recreation_claude_v2_3!I82,recreation_claude_v2_2!I82,recreation_claude_v2_1!I82)/COUNT(recreation_claude_v2_5!I82,recreation_claude_v2_4!I82,recreation_claude_v2_3!I82,recreation_claude_v2_2!I82,recreation_claude_v2_1!I82),0),"NA")</f>
        <v>1</v>
      </c>
      <c r="I82">
        <f>IF($F82 = 1,ROUND(SUM(recreation_claude_v2_5!J82,recreation_claude_v2_4!J82,recreation_claude_v2_3!J82,recreation_claude_v2_2!J82,recreation_claude_v2_1!J82)/COUNT(recreation_claude_v2_5!J82,recreation_claude_v2_4!J82,recreation_claude_v2_3!J82,recreation_claude_v2_2!J82,recreation_claude_v2_1!J82),0),"NA")</f>
        <v>1</v>
      </c>
      <c r="J82">
        <f>IF($E82 = 1,ROUND(SUM(recreation_claude_v2_5!K82,recreation_claude_v2_4!K82,recreation_claude_v2_3!K82,recreation_claude_v2_2!K82,recreation_claude_v2_1!K82)/COUNT(recreation_claude_v2_5!K82,recreation_claude_v2_4!K82,recreation_claude_v2_3!K82,recreation_claude_v2_2!K82,recreation_claude_v2_1!K82),0),"NA")</f>
        <v>1</v>
      </c>
      <c r="K82" t="str">
        <f>IF(AND($F82 = 1, $G82 = 1),ROUND(SUM(recreation_claude_v2_5!L82,recreation_claude_v2_4!L82,recreation_claude_v2_3!L82,recreation_claude_v2_2!L82,recreation_claude_v2_1!L82)/COUNT(recreation_claude_v2_5!L82,recreation_claude_v2_4!L82,recreation_claude_v2_3!L82,recreation_claude_v2_2!L82,recreation_claude_v2_1!L82),0),"NA")</f>
        <v>NA</v>
      </c>
      <c r="L82">
        <f>IF($E82 = 1,ROUND(SUM(recreation_claude_v2_5!L82,recreation_claude_v2_4!L82,recreation_claude_v2_3!L82,recreation_claude_v2_2!L82,recreation_claude_v2_1!L82)/COUNT(recreation_claude_v2_5!L82,recreation_claude_v2_4!L82,recreation_claude_v2_3!L82,recreation_claude_v2_2!L82,recreation_claude_v2_1!L82),0),"NA")</f>
        <v>1</v>
      </c>
      <c r="M82">
        <f>IF($E82 = 1,ROUND(SUM(recreation_claude_v2_5!M82,recreation_claude_v2_4!M82,recreation_claude_v2_3!M82,recreation_claude_v2_2!M82,recreation_claude_v2_1!M82)/COUNT(recreation_claude_v2_5!M82,recreation_claude_v2_4!M82,recreation_claude_v2_3!M82,recreation_claude_v2_2!M82,recreation_claude_v2_1!M82),0),"NA")</f>
        <v>1</v>
      </c>
      <c r="N82">
        <f>IF($E82 = 1,ROUND(SUM(recreation_claude_v2_5!N82,recreation_claude_v2_4!N82,recreation_claude_v2_3!N82,recreation_claude_v2_2!N82,recreation_claude_v2_1!N82)/COUNT(recreation_claude_v2_5!N82,recreation_claude_v2_4!N82,recreation_claude_v2_3!N82,recreation_claude_v2_2!N82,recreation_claude_v2_1!N82),0),"NA")</f>
        <v>1</v>
      </c>
      <c r="O82">
        <f>IF($E82 = 1,ROUND(SUM(recreation_claude_v2_5!O82,recreation_claude_v2_4!O82,recreation_claude_v2_3!O82,recreation_claude_v2_2!O82,recreation_claude_v2_1!O82)/COUNT(recreation_claude_v2_5!O82,recreation_claude_v2_4!O82,recreation_claude_v2_3!O82,recreation_claude_v2_2!O82,recreation_claude_v2_1!O82),0),"NA")</f>
        <v>1</v>
      </c>
    </row>
    <row r="83" spans="1:15" x14ac:dyDescent="0.25">
      <c r="A83" t="s">
        <v>92</v>
      </c>
      <c r="B83" t="s">
        <v>62</v>
      </c>
      <c r="C83">
        <v>0</v>
      </c>
      <c r="D83">
        <v>9.622617244720459</v>
      </c>
      <c r="E83">
        <f>ROUND(SUM(recreation_claude_v2_5!E83,recreation_claude_v2_4!E83,recreation_claude_v2_3!E83,recreation_claude_v2_2!E83,recreation_claude_v2_1!E83)/COUNT(recreation_claude_v2_5!E83,recreation_claude_v2_4!E83,recreation_claude_v2_3!E83,recreation_claude_v2_2!E83,recreation_claude_v2_1!E83),0)</f>
        <v>1</v>
      </c>
      <c r="F83">
        <f>IF($E83 = 1,ROUND(SUM(recreation_claude_v2_5!F83,recreation_claude_v2_4!F83,recreation_claude_v2_3!F83,recreation_claude_v2_2!F83,recreation_claude_v2_1!F83)/COUNT(recreation_claude_v2_5!F83,recreation_claude_v2_4!F83,recreation_claude_v2_3!F83,recreation_claude_v2_2!F83,recreation_claude_v2_1!F83),0),"NA")</f>
        <v>1</v>
      </c>
      <c r="G83">
        <f>IF($E83 = 1,ROUND(SUM(recreation_claude_v2_5!G83,recreation_claude_v2_4!G83,recreation_claude_v2_3!G83,recreation_claude_v2_2!G83,recreation_claude_v2_1!G83)/COUNT(recreation_claude_v2_5!G83,recreation_claude_v2_4!G83,recreation_claude_v2_3!G83,recreation_claude_v2_2!G83,recreation_claude_v2_1!G83),0),"NA")</f>
        <v>1</v>
      </c>
      <c r="H83">
        <f>IF($E83 = 1,ROUND(SUM(recreation_claude_v2_5!I83,recreation_claude_v2_4!I83,recreation_claude_v2_3!I83,recreation_claude_v2_2!I83,recreation_claude_v2_1!I83)/COUNT(recreation_claude_v2_5!I83,recreation_claude_v2_4!I83,recreation_claude_v2_3!I83,recreation_claude_v2_2!I83,recreation_claude_v2_1!I83),0),"NA")</f>
        <v>1</v>
      </c>
      <c r="I83">
        <f>IF($F83 = 1,ROUND(SUM(recreation_claude_v2_5!J83,recreation_claude_v2_4!J83,recreation_claude_v2_3!J83,recreation_claude_v2_2!J83,recreation_claude_v2_1!J83)/COUNT(recreation_claude_v2_5!J83,recreation_claude_v2_4!J83,recreation_claude_v2_3!J83,recreation_claude_v2_2!J83,recreation_claude_v2_1!J83),0),"NA")</f>
        <v>1</v>
      </c>
      <c r="J83">
        <f>IF($E83 = 1,ROUND(SUM(recreation_claude_v2_5!K83,recreation_claude_v2_4!K83,recreation_claude_v2_3!K83,recreation_claude_v2_2!K83,recreation_claude_v2_1!K83)/COUNT(recreation_claude_v2_5!K83,recreation_claude_v2_4!K83,recreation_claude_v2_3!K83,recreation_claude_v2_2!K83,recreation_claude_v2_1!K83),0),"NA")</f>
        <v>1</v>
      </c>
      <c r="K83">
        <f>IF(AND($F83 = 1, $G83 = 1),ROUND(SUM(recreation_claude_v2_5!L83,recreation_claude_v2_4!L83,recreation_claude_v2_3!L83,recreation_claude_v2_2!L83,recreation_claude_v2_1!L83)/COUNT(recreation_claude_v2_5!L83,recreation_claude_v2_4!L83,recreation_claude_v2_3!L83,recreation_claude_v2_2!L83,recreation_claude_v2_1!L83),0),"NA")</f>
        <v>1</v>
      </c>
      <c r="L83">
        <f>IF($E83 = 1,ROUND(SUM(recreation_claude_v2_5!L83,recreation_claude_v2_4!L83,recreation_claude_v2_3!L83,recreation_claude_v2_2!L83,recreation_claude_v2_1!L83)/COUNT(recreation_claude_v2_5!L83,recreation_claude_v2_4!L83,recreation_claude_v2_3!L83,recreation_claude_v2_2!L83,recreation_claude_v2_1!L83),0),"NA")</f>
        <v>1</v>
      </c>
      <c r="M83">
        <f>IF($E83 = 1,ROUND(SUM(recreation_claude_v2_5!M83,recreation_claude_v2_4!M83,recreation_claude_v2_3!M83,recreation_claude_v2_2!M83,recreation_claude_v2_1!M83)/COUNT(recreation_claude_v2_5!M83,recreation_claude_v2_4!M83,recreation_claude_v2_3!M83,recreation_claude_v2_2!M83,recreation_claude_v2_1!M83),0),"NA")</f>
        <v>1</v>
      </c>
      <c r="N83">
        <f>IF($E83 = 1,ROUND(SUM(recreation_claude_v2_5!N83,recreation_claude_v2_4!N83,recreation_claude_v2_3!N83,recreation_claude_v2_2!N83,recreation_claude_v2_1!N83)/COUNT(recreation_claude_v2_5!N83,recreation_claude_v2_4!N83,recreation_claude_v2_3!N83,recreation_claude_v2_2!N83,recreation_claude_v2_1!N83),0),"NA")</f>
        <v>1</v>
      </c>
      <c r="O83">
        <f>IF($E83 = 1,ROUND(SUM(recreation_claude_v2_5!O83,recreation_claude_v2_4!O83,recreation_claude_v2_3!O83,recreation_claude_v2_2!O83,recreation_claude_v2_1!O83)/COUNT(recreation_claude_v2_5!O83,recreation_claude_v2_4!O83,recreation_claude_v2_3!O83,recreation_claude_v2_2!O83,recreation_claude_v2_1!O83),0),"NA")</f>
        <v>1</v>
      </c>
    </row>
    <row r="84" spans="1:15" x14ac:dyDescent="0.25">
      <c r="A84" t="s">
        <v>92</v>
      </c>
      <c r="B84" t="s">
        <v>64</v>
      </c>
      <c r="C84">
        <v>0</v>
      </c>
      <c r="D84">
        <v>7.5394487380981454</v>
      </c>
      <c r="E84">
        <f>ROUND(SUM(recreation_claude_v2_5!E84,recreation_claude_v2_4!E84,recreation_claude_v2_3!E84,recreation_claude_v2_2!E84,recreation_claude_v2_1!E84)/COUNT(recreation_claude_v2_5!E84,recreation_claude_v2_4!E84,recreation_claude_v2_3!E84,recreation_claude_v2_2!E84,recreation_claude_v2_1!E84),0)</f>
        <v>0</v>
      </c>
      <c r="F84" t="str">
        <f>IF($E84 = 1,ROUND(SUM(recreation_claude_v2_5!F84,recreation_claude_v2_4!F84,recreation_claude_v2_3!F84,recreation_claude_v2_2!F84,recreation_claude_v2_1!F84)/COUNT(recreation_claude_v2_5!F84,recreation_claude_v2_4!F84,recreation_claude_v2_3!F84,recreation_claude_v2_2!F84,recreation_claude_v2_1!F84),0),"NA")</f>
        <v>NA</v>
      </c>
      <c r="G84" t="str">
        <f>IF($E84 = 1,ROUND(SUM(recreation_claude_v2_5!G84,recreation_claude_v2_4!G84,recreation_claude_v2_3!G84,recreation_claude_v2_2!G84,recreation_claude_v2_1!G84)/COUNT(recreation_claude_v2_5!G84,recreation_claude_v2_4!G84,recreation_claude_v2_3!G84,recreation_claude_v2_2!G84,recreation_claude_v2_1!G84),0),"NA")</f>
        <v>NA</v>
      </c>
      <c r="H84" t="str">
        <f>IF($E84 = 1,ROUND(SUM(recreation_claude_v2_5!I84,recreation_claude_v2_4!I84,recreation_claude_v2_3!I84,recreation_claude_v2_2!I84,recreation_claude_v2_1!I84)/COUNT(recreation_claude_v2_5!I84,recreation_claude_v2_4!I84,recreation_claude_v2_3!I84,recreation_claude_v2_2!I84,recreation_claude_v2_1!I84),0),"NA")</f>
        <v>NA</v>
      </c>
      <c r="I84" t="str">
        <f>IF($F84 = 1,ROUND(SUM(recreation_claude_v2_5!J84,recreation_claude_v2_4!J84,recreation_claude_v2_3!J84,recreation_claude_v2_2!J84,recreation_claude_v2_1!J84)/COUNT(recreation_claude_v2_5!J84,recreation_claude_v2_4!J84,recreation_claude_v2_3!J84,recreation_claude_v2_2!J84,recreation_claude_v2_1!J84),0),"NA")</f>
        <v>NA</v>
      </c>
      <c r="J84" t="str">
        <f>IF($E84 = 1,ROUND(SUM(recreation_claude_v2_5!K84,recreation_claude_v2_4!K84,recreation_claude_v2_3!K84,recreation_claude_v2_2!K84,recreation_claude_v2_1!K84)/COUNT(recreation_claude_v2_5!K84,recreation_claude_v2_4!K84,recreation_claude_v2_3!K84,recreation_claude_v2_2!K84,recreation_claude_v2_1!K84),0),"NA")</f>
        <v>NA</v>
      </c>
      <c r="K84" t="str">
        <f>IF(AND($F84 = 1, $G84 = 1),ROUND(SUM(recreation_claude_v2_5!L84,recreation_claude_v2_4!L84,recreation_claude_v2_3!L84,recreation_claude_v2_2!L84,recreation_claude_v2_1!L84)/COUNT(recreation_claude_v2_5!L84,recreation_claude_v2_4!L84,recreation_claude_v2_3!L84,recreation_claude_v2_2!L84,recreation_claude_v2_1!L84),0),"NA")</f>
        <v>NA</v>
      </c>
      <c r="L84" t="str">
        <f>IF($E84 = 1,ROUND(SUM(recreation_claude_v2_5!L84,recreation_claude_v2_4!L84,recreation_claude_v2_3!L84,recreation_claude_v2_2!L84,recreation_claude_v2_1!L84)/COUNT(recreation_claude_v2_5!L84,recreation_claude_v2_4!L84,recreation_claude_v2_3!L84,recreation_claude_v2_2!L84,recreation_claude_v2_1!L84),0),"NA")</f>
        <v>NA</v>
      </c>
      <c r="M84" t="str">
        <f>IF($E84 = 1,ROUND(SUM(recreation_claude_v2_5!M84,recreation_claude_v2_4!M84,recreation_claude_v2_3!M84,recreation_claude_v2_2!M84,recreation_claude_v2_1!M84)/COUNT(recreation_claude_v2_5!M84,recreation_claude_v2_4!M84,recreation_claude_v2_3!M84,recreation_claude_v2_2!M84,recreation_claude_v2_1!M84),0),"NA")</f>
        <v>NA</v>
      </c>
      <c r="N84" t="str">
        <f>IF($E84 = 1,ROUND(SUM(recreation_claude_v2_5!N84,recreation_claude_v2_4!N84,recreation_claude_v2_3!N84,recreation_claude_v2_2!N84,recreation_claude_v2_1!N84)/COUNT(recreation_claude_v2_5!N84,recreation_claude_v2_4!N84,recreation_claude_v2_3!N84,recreation_claude_v2_2!N84,recreation_claude_v2_1!N84),0),"NA")</f>
        <v>NA</v>
      </c>
      <c r="O84" t="str">
        <f>IF($E84 = 1,ROUND(SUM(recreation_claude_v2_5!O84,recreation_claude_v2_4!O84,recreation_claude_v2_3!O84,recreation_claude_v2_2!O84,recreation_claude_v2_1!O84)/COUNT(recreation_claude_v2_5!O84,recreation_claude_v2_4!O84,recreation_claude_v2_3!O84,recreation_claude_v2_2!O84,recreation_claude_v2_1!O84),0),"NA")</f>
        <v>NA</v>
      </c>
    </row>
    <row r="85" spans="1:15" x14ac:dyDescent="0.25">
      <c r="A85" t="s">
        <v>92</v>
      </c>
      <c r="B85" t="s">
        <v>66</v>
      </c>
      <c r="C85">
        <v>0</v>
      </c>
      <c r="D85">
        <v>11.27442646026611</v>
      </c>
      <c r="E85">
        <f>ROUND(SUM(recreation_claude_v2_5!E85,recreation_claude_v2_4!E85,recreation_claude_v2_3!E85,recreation_claude_v2_2!E85,recreation_claude_v2_1!E85)/COUNT(recreation_claude_v2_5!E85,recreation_claude_v2_4!E85,recreation_claude_v2_3!E85,recreation_claude_v2_2!E85,recreation_claude_v2_1!E85),0)</f>
        <v>1</v>
      </c>
      <c r="F85">
        <f>IF($E85 = 1,ROUND(SUM(recreation_claude_v2_5!F85,recreation_claude_v2_4!F85,recreation_claude_v2_3!F85,recreation_claude_v2_2!F85,recreation_claude_v2_1!F85)/COUNT(recreation_claude_v2_5!F85,recreation_claude_v2_4!F85,recreation_claude_v2_3!F85,recreation_claude_v2_2!F85,recreation_claude_v2_1!F85),0),"NA")</f>
        <v>1</v>
      </c>
      <c r="G85">
        <f>IF($E85 = 1,ROUND(SUM(recreation_claude_v2_5!G85,recreation_claude_v2_4!G85,recreation_claude_v2_3!G85,recreation_claude_v2_2!G85,recreation_claude_v2_1!G85)/COUNT(recreation_claude_v2_5!G85,recreation_claude_v2_4!G85,recreation_claude_v2_3!G85,recreation_claude_v2_2!G85,recreation_claude_v2_1!G85),0),"NA")</f>
        <v>0</v>
      </c>
      <c r="H85">
        <f>IF($E85 = 1,ROUND(SUM(recreation_claude_v2_5!I85,recreation_claude_v2_4!I85,recreation_claude_v2_3!I85,recreation_claude_v2_2!I85,recreation_claude_v2_1!I85)/COUNT(recreation_claude_v2_5!I85,recreation_claude_v2_4!I85,recreation_claude_v2_3!I85,recreation_claude_v2_2!I85,recreation_claude_v2_1!I85),0),"NA")</f>
        <v>1</v>
      </c>
      <c r="I85">
        <f>IF($F85 = 1,ROUND(SUM(recreation_claude_v2_5!J85,recreation_claude_v2_4!J85,recreation_claude_v2_3!J85,recreation_claude_v2_2!J85,recreation_claude_v2_1!J85)/COUNT(recreation_claude_v2_5!J85,recreation_claude_v2_4!J85,recreation_claude_v2_3!J85,recreation_claude_v2_2!J85,recreation_claude_v2_1!J85),0),"NA")</f>
        <v>1</v>
      </c>
      <c r="J85">
        <f>IF($E85 = 1,ROUND(SUM(recreation_claude_v2_5!K85,recreation_claude_v2_4!K85,recreation_claude_v2_3!K85,recreation_claude_v2_2!K85,recreation_claude_v2_1!K85)/COUNT(recreation_claude_v2_5!K85,recreation_claude_v2_4!K85,recreation_claude_v2_3!K85,recreation_claude_v2_2!K85,recreation_claude_v2_1!K85),0),"NA")</f>
        <v>1</v>
      </c>
      <c r="K85" t="str">
        <f>IF(AND($F85 = 1, $G85 = 1),ROUND(SUM(recreation_claude_v2_5!L85,recreation_claude_v2_4!L85,recreation_claude_v2_3!L85,recreation_claude_v2_2!L85,recreation_claude_v2_1!L85)/COUNT(recreation_claude_v2_5!L85,recreation_claude_v2_4!L85,recreation_claude_v2_3!L85,recreation_claude_v2_2!L85,recreation_claude_v2_1!L85),0),"NA")</f>
        <v>NA</v>
      </c>
      <c r="L85">
        <f>IF($E85 = 1,ROUND(SUM(recreation_claude_v2_5!L85,recreation_claude_v2_4!L85,recreation_claude_v2_3!L85,recreation_claude_v2_2!L85,recreation_claude_v2_1!L85)/COUNT(recreation_claude_v2_5!L85,recreation_claude_v2_4!L85,recreation_claude_v2_3!L85,recreation_claude_v2_2!L85,recreation_claude_v2_1!L85),0),"NA")</f>
        <v>1</v>
      </c>
      <c r="M85">
        <f>IF($E85 = 1,ROUND(SUM(recreation_claude_v2_5!M85,recreation_claude_v2_4!M85,recreation_claude_v2_3!M85,recreation_claude_v2_2!M85,recreation_claude_v2_1!M85)/COUNT(recreation_claude_v2_5!M85,recreation_claude_v2_4!M85,recreation_claude_v2_3!M85,recreation_claude_v2_2!M85,recreation_claude_v2_1!M85),0),"NA")</f>
        <v>1</v>
      </c>
      <c r="N85">
        <f>IF($E85 = 1,ROUND(SUM(recreation_claude_v2_5!N85,recreation_claude_v2_4!N85,recreation_claude_v2_3!N85,recreation_claude_v2_2!N85,recreation_claude_v2_1!N85)/COUNT(recreation_claude_v2_5!N85,recreation_claude_v2_4!N85,recreation_claude_v2_3!N85,recreation_claude_v2_2!N85,recreation_claude_v2_1!N85),0),"NA")</f>
        <v>1</v>
      </c>
      <c r="O85">
        <f>IF($E85 = 1,ROUND(SUM(recreation_claude_v2_5!O85,recreation_claude_v2_4!O85,recreation_claude_v2_3!O85,recreation_claude_v2_2!O85,recreation_claude_v2_1!O85)/COUNT(recreation_claude_v2_5!O85,recreation_claude_v2_4!O85,recreation_claude_v2_3!O85,recreation_claude_v2_2!O85,recreation_claude_v2_1!O85),0),"NA")</f>
        <v>1</v>
      </c>
    </row>
    <row r="86" spans="1:15" x14ac:dyDescent="0.25">
      <c r="A86" t="s">
        <v>92</v>
      </c>
      <c r="B86" t="s">
        <v>67</v>
      </c>
      <c r="C86">
        <v>0</v>
      </c>
      <c r="D86">
        <v>7.8736555576324463</v>
      </c>
      <c r="E86">
        <f>ROUND(SUM(recreation_claude_v2_5!E86,recreation_claude_v2_4!E86,recreation_claude_v2_3!E86,recreation_claude_v2_2!E86,recreation_claude_v2_1!E86)/COUNT(recreation_claude_v2_5!E86,recreation_claude_v2_4!E86,recreation_claude_v2_3!E86,recreation_claude_v2_2!E86,recreation_claude_v2_1!E86),0)</f>
        <v>1</v>
      </c>
      <c r="F86">
        <f>IF($E86 = 1,ROUND(SUM(recreation_claude_v2_5!F86,recreation_claude_v2_4!F86,recreation_claude_v2_3!F86,recreation_claude_v2_2!F86,recreation_claude_v2_1!F86)/COUNT(recreation_claude_v2_5!F86,recreation_claude_v2_4!F86,recreation_claude_v2_3!F86,recreation_claude_v2_2!F86,recreation_claude_v2_1!F86),0),"NA")</f>
        <v>1</v>
      </c>
      <c r="G86">
        <f>IF($E86 = 1,ROUND(SUM(recreation_claude_v2_5!G86,recreation_claude_v2_4!G86,recreation_claude_v2_3!G86,recreation_claude_v2_2!G86,recreation_claude_v2_1!G86)/COUNT(recreation_claude_v2_5!G86,recreation_claude_v2_4!G86,recreation_claude_v2_3!G86,recreation_claude_v2_2!G86,recreation_claude_v2_1!G86),0),"NA")</f>
        <v>1</v>
      </c>
      <c r="H86">
        <f>IF($E86 = 1,ROUND(SUM(recreation_claude_v2_5!I86,recreation_claude_v2_4!I86,recreation_claude_v2_3!I86,recreation_claude_v2_2!I86,recreation_claude_v2_1!I86)/COUNT(recreation_claude_v2_5!I86,recreation_claude_v2_4!I86,recreation_claude_v2_3!I86,recreation_claude_v2_2!I86,recreation_claude_v2_1!I86),0),"NA")</f>
        <v>1</v>
      </c>
      <c r="I86">
        <f>IF($F86 = 1,ROUND(SUM(recreation_claude_v2_5!J86,recreation_claude_v2_4!J86,recreation_claude_v2_3!J86,recreation_claude_v2_2!J86,recreation_claude_v2_1!J86)/COUNT(recreation_claude_v2_5!J86,recreation_claude_v2_4!J86,recreation_claude_v2_3!J86,recreation_claude_v2_2!J86,recreation_claude_v2_1!J86),0),"NA")</f>
        <v>1</v>
      </c>
      <c r="J86">
        <f>IF($E86 = 1,ROUND(SUM(recreation_claude_v2_5!K86,recreation_claude_v2_4!K86,recreation_claude_v2_3!K86,recreation_claude_v2_2!K86,recreation_claude_v2_1!K86)/COUNT(recreation_claude_v2_5!K86,recreation_claude_v2_4!K86,recreation_claude_v2_3!K86,recreation_claude_v2_2!K86,recreation_claude_v2_1!K86),0),"NA")</f>
        <v>1</v>
      </c>
      <c r="K86">
        <f>IF(AND($F86 = 1, $G86 = 1),ROUND(SUM(recreation_claude_v2_5!L86,recreation_claude_v2_4!L86,recreation_claude_v2_3!L86,recreation_claude_v2_2!L86,recreation_claude_v2_1!L86)/COUNT(recreation_claude_v2_5!L86,recreation_claude_v2_4!L86,recreation_claude_v2_3!L86,recreation_claude_v2_2!L86,recreation_claude_v2_1!L86),0),"NA")</f>
        <v>1</v>
      </c>
      <c r="L86">
        <f>IF($E86 = 1,ROUND(SUM(recreation_claude_v2_5!L86,recreation_claude_v2_4!L86,recreation_claude_v2_3!L86,recreation_claude_v2_2!L86,recreation_claude_v2_1!L86)/COUNT(recreation_claude_v2_5!L86,recreation_claude_v2_4!L86,recreation_claude_v2_3!L86,recreation_claude_v2_2!L86,recreation_claude_v2_1!L86),0),"NA")</f>
        <v>1</v>
      </c>
      <c r="M86">
        <f>IF($E86 = 1,ROUND(SUM(recreation_claude_v2_5!M86,recreation_claude_v2_4!M86,recreation_claude_v2_3!M86,recreation_claude_v2_2!M86,recreation_claude_v2_1!M86)/COUNT(recreation_claude_v2_5!M86,recreation_claude_v2_4!M86,recreation_claude_v2_3!M86,recreation_claude_v2_2!M86,recreation_claude_v2_1!M86),0),"NA")</f>
        <v>1</v>
      </c>
      <c r="N86">
        <f>IF($E86 = 1,ROUND(SUM(recreation_claude_v2_5!N86,recreation_claude_v2_4!N86,recreation_claude_v2_3!N86,recreation_claude_v2_2!N86,recreation_claude_v2_1!N86)/COUNT(recreation_claude_v2_5!N86,recreation_claude_v2_4!N86,recreation_claude_v2_3!N86,recreation_claude_v2_2!N86,recreation_claude_v2_1!N86),0),"NA")</f>
        <v>1</v>
      </c>
      <c r="O86">
        <f>IF($E86 = 1,ROUND(SUM(recreation_claude_v2_5!O86,recreation_claude_v2_4!O86,recreation_claude_v2_3!O86,recreation_claude_v2_2!O86,recreation_claude_v2_1!O86)/COUNT(recreation_claude_v2_5!O86,recreation_claude_v2_4!O86,recreation_claude_v2_3!O86,recreation_claude_v2_2!O86,recreation_claude_v2_1!O86),0),"NA")</f>
        <v>1</v>
      </c>
    </row>
    <row r="87" spans="1:15" x14ac:dyDescent="0.25">
      <c r="A87" t="s">
        <v>92</v>
      </c>
      <c r="B87" t="s">
        <v>69</v>
      </c>
      <c r="C87">
        <v>0</v>
      </c>
      <c r="D87">
        <v>6.4345760345458984</v>
      </c>
      <c r="E87">
        <f>ROUND(SUM(recreation_claude_v2_5!E87,recreation_claude_v2_4!E87,recreation_claude_v2_3!E87,recreation_claude_v2_2!E87,recreation_claude_v2_1!E87)/COUNT(recreation_claude_v2_5!E87,recreation_claude_v2_4!E87,recreation_claude_v2_3!E87,recreation_claude_v2_2!E87,recreation_claude_v2_1!E87),0)</f>
        <v>0</v>
      </c>
      <c r="F87" t="str">
        <f>IF($E87 = 1,ROUND(SUM(recreation_claude_v2_5!F87,recreation_claude_v2_4!F87,recreation_claude_v2_3!F87,recreation_claude_v2_2!F87,recreation_claude_v2_1!F87)/COUNT(recreation_claude_v2_5!F87,recreation_claude_v2_4!F87,recreation_claude_v2_3!F87,recreation_claude_v2_2!F87,recreation_claude_v2_1!F87),0),"NA")</f>
        <v>NA</v>
      </c>
      <c r="G87" t="str">
        <f>IF($E87 = 1,ROUND(SUM(recreation_claude_v2_5!G87,recreation_claude_v2_4!G87,recreation_claude_v2_3!G87,recreation_claude_v2_2!G87,recreation_claude_v2_1!G87)/COUNT(recreation_claude_v2_5!G87,recreation_claude_v2_4!G87,recreation_claude_v2_3!G87,recreation_claude_v2_2!G87,recreation_claude_v2_1!G87),0),"NA")</f>
        <v>NA</v>
      </c>
      <c r="H87" t="str">
        <f>IF($E87 = 1,ROUND(SUM(recreation_claude_v2_5!I87,recreation_claude_v2_4!I87,recreation_claude_v2_3!I87,recreation_claude_v2_2!I87,recreation_claude_v2_1!I87)/COUNT(recreation_claude_v2_5!I87,recreation_claude_v2_4!I87,recreation_claude_v2_3!I87,recreation_claude_v2_2!I87,recreation_claude_v2_1!I87),0),"NA")</f>
        <v>NA</v>
      </c>
      <c r="I87" t="str">
        <f>IF($F87 = 1,ROUND(SUM(recreation_claude_v2_5!J87,recreation_claude_v2_4!J87,recreation_claude_v2_3!J87,recreation_claude_v2_2!J87,recreation_claude_v2_1!J87)/COUNT(recreation_claude_v2_5!J87,recreation_claude_v2_4!J87,recreation_claude_v2_3!J87,recreation_claude_v2_2!J87,recreation_claude_v2_1!J87),0),"NA")</f>
        <v>NA</v>
      </c>
      <c r="J87" t="str">
        <f>IF($E87 = 1,ROUND(SUM(recreation_claude_v2_5!K87,recreation_claude_v2_4!K87,recreation_claude_v2_3!K87,recreation_claude_v2_2!K87,recreation_claude_v2_1!K87)/COUNT(recreation_claude_v2_5!K87,recreation_claude_v2_4!K87,recreation_claude_v2_3!K87,recreation_claude_v2_2!K87,recreation_claude_v2_1!K87),0),"NA")</f>
        <v>NA</v>
      </c>
      <c r="K87" t="str">
        <f>IF(AND($F87 = 1, $G87 = 1),ROUND(SUM(recreation_claude_v2_5!L87,recreation_claude_v2_4!L87,recreation_claude_v2_3!L87,recreation_claude_v2_2!L87,recreation_claude_v2_1!L87)/COUNT(recreation_claude_v2_5!L87,recreation_claude_v2_4!L87,recreation_claude_v2_3!L87,recreation_claude_v2_2!L87,recreation_claude_v2_1!L87),0),"NA")</f>
        <v>NA</v>
      </c>
      <c r="L87" t="str">
        <f>IF($E87 = 1,ROUND(SUM(recreation_claude_v2_5!L87,recreation_claude_v2_4!L87,recreation_claude_v2_3!L87,recreation_claude_v2_2!L87,recreation_claude_v2_1!L87)/COUNT(recreation_claude_v2_5!L87,recreation_claude_v2_4!L87,recreation_claude_v2_3!L87,recreation_claude_v2_2!L87,recreation_claude_v2_1!L87),0),"NA")</f>
        <v>NA</v>
      </c>
      <c r="M87" t="str">
        <f>IF($E87 = 1,ROUND(SUM(recreation_claude_v2_5!M87,recreation_claude_v2_4!M87,recreation_claude_v2_3!M87,recreation_claude_v2_2!M87,recreation_claude_v2_1!M87)/COUNT(recreation_claude_v2_5!M87,recreation_claude_v2_4!M87,recreation_claude_v2_3!M87,recreation_claude_v2_2!M87,recreation_claude_v2_1!M87),0),"NA")</f>
        <v>NA</v>
      </c>
      <c r="N87" t="str">
        <f>IF($E87 = 1,ROUND(SUM(recreation_claude_v2_5!N87,recreation_claude_v2_4!N87,recreation_claude_v2_3!N87,recreation_claude_v2_2!N87,recreation_claude_v2_1!N87)/COUNT(recreation_claude_v2_5!N87,recreation_claude_v2_4!N87,recreation_claude_v2_3!N87,recreation_claude_v2_2!N87,recreation_claude_v2_1!N87),0),"NA")</f>
        <v>NA</v>
      </c>
      <c r="O87" t="str">
        <f>IF($E87 = 1,ROUND(SUM(recreation_claude_v2_5!O87,recreation_claude_v2_4!O87,recreation_claude_v2_3!O87,recreation_claude_v2_2!O87,recreation_claude_v2_1!O87)/COUNT(recreation_claude_v2_5!O87,recreation_claude_v2_4!O87,recreation_claude_v2_3!O87,recreation_claude_v2_2!O87,recreation_claude_v2_1!O87),0),"NA")</f>
        <v>NA</v>
      </c>
    </row>
    <row r="88" spans="1:15" x14ac:dyDescent="0.25">
      <c r="A88" t="s">
        <v>92</v>
      </c>
      <c r="B88" t="s">
        <v>70</v>
      </c>
      <c r="C88">
        <v>0</v>
      </c>
      <c r="D88">
        <v>8.096071720123291</v>
      </c>
      <c r="E88">
        <f>ROUND(SUM(recreation_claude_v2_5!E88,recreation_claude_v2_4!E88,recreation_claude_v2_3!E88,recreation_claude_v2_2!E88,recreation_claude_v2_1!E88)/COUNT(recreation_claude_v2_5!E88,recreation_claude_v2_4!E88,recreation_claude_v2_3!E88,recreation_claude_v2_2!E88,recreation_claude_v2_1!E88),0)</f>
        <v>1</v>
      </c>
      <c r="F88">
        <f>IF($E88 = 1,ROUND(SUM(recreation_claude_v2_5!F88,recreation_claude_v2_4!F88,recreation_claude_v2_3!F88,recreation_claude_v2_2!F88,recreation_claude_v2_1!F88)/COUNT(recreation_claude_v2_5!F88,recreation_claude_v2_4!F88,recreation_claude_v2_3!F88,recreation_claude_v2_2!F88,recreation_claude_v2_1!F88),0),"NA")</f>
        <v>1</v>
      </c>
      <c r="G88">
        <f>IF($E88 = 1,ROUND(SUM(recreation_claude_v2_5!G88,recreation_claude_v2_4!G88,recreation_claude_v2_3!G88,recreation_claude_v2_2!G88,recreation_claude_v2_1!G88)/COUNT(recreation_claude_v2_5!G88,recreation_claude_v2_4!G88,recreation_claude_v2_3!G88,recreation_claude_v2_2!G88,recreation_claude_v2_1!G88),0),"NA")</f>
        <v>1</v>
      </c>
      <c r="H88">
        <f>IF($E88 = 1,ROUND(SUM(recreation_claude_v2_5!I88,recreation_claude_v2_4!I88,recreation_claude_v2_3!I88,recreation_claude_v2_2!I88,recreation_claude_v2_1!I88)/COUNT(recreation_claude_v2_5!I88,recreation_claude_v2_4!I88,recreation_claude_v2_3!I88,recreation_claude_v2_2!I88,recreation_claude_v2_1!I88),0),"NA")</f>
        <v>1</v>
      </c>
      <c r="I88">
        <f>IF($F88 = 1,ROUND(SUM(recreation_claude_v2_5!J88,recreation_claude_v2_4!J88,recreation_claude_v2_3!J88,recreation_claude_v2_2!J88,recreation_claude_v2_1!J88)/COUNT(recreation_claude_v2_5!J88,recreation_claude_v2_4!J88,recreation_claude_v2_3!J88,recreation_claude_v2_2!J88,recreation_claude_v2_1!J88),0),"NA")</f>
        <v>1</v>
      </c>
      <c r="J88">
        <f>IF($E88 = 1,ROUND(SUM(recreation_claude_v2_5!K88,recreation_claude_v2_4!K88,recreation_claude_v2_3!K88,recreation_claude_v2_2!K88,recreation_claude_v2_1!K88)/COUNT(recreation_claude_v2_5!K88,recreation_claude_v2_4!K88,recreation_claude_v2_3!K88,recreation_claude_v2_2!K88,recreation_claude_v2_1!K88),0),"NA")</f>
        <v>1</v>
      </c>
      <c r="K88">
        <f>IF(AND($F88 = 1, $G88 = 1),ROUND(SUM(recreation_claude_v2_5!L88,recreation_claude_v2_4!L88,recreation_claude_v2_3!L88,recreation_claude_v2_2!L88,recreation_claude_v2_1!L88)/COUNT(recreation_claude_v2_5!L88,recreation_claude_v2_4!L88,recreation_claude_v2_3!L88,recreation_claude_v2_2!L88,recreation_claude_v2_1!L88),0),"NA")</f>
        <v>1</v>
      </c>
      <c r="L88">
        <f>IF($E88 = 1,ROUND(SUM(recreation_claude_v2_5!L88,recreation_claude_v2_4!L88,recreation_claude_v2_3!L88,recreation_claude_v2_2!L88,recreation_claude_v2_1!L88)/COUNT(recreation_claude_v2_5!L88,recreation_claude_v2_4!L88,recreation_claude_v2_3!L88,recreation_claude_v2_2!L88,recreation_claude_v2_1!L88),0),"NA")</f>
        <v>1</v>
      </c>
      <c r="M88">
        <f>IF($E88 = 1,ROUND(SUM(recreation_claude_v2_5!M88,recreation_claude_v2_4!M88,recreation_claude_v2_3!M88,recreation_claude_v2_2!M88,recreation_claude_v2_1!M88)/COUNT(recreation_claude_v2_5!M88,recreation_claude_v2_4!M88,recreation_claude_v2_3!M88,recreation_claude_v2_2!M88,recreation_claude_v2_1!M88),0),"NA")</f>
        <v>1</v>
      </c>
      <c r="N88">
        <f>IF($E88 = 1,ROUND(SUM(recreation_claude_v2_5!N88,recreation_claude_v2_4!N88,recreation_claude_v2_3!N88,recreation_claude_v2_2!N88,recreation_claude_v2_1!N88)/COUNT(recreation_claude_v2_5!N88,recreation_claude_v2_4!N88,recreation_claude_v2_3!N88,recreation_claude_v2_2!N88,recreation_claude_v2_1!N88),0),"NA")</f>
        <v>1</v>
      </c>
      <c r="O88">
        <f>IF($E88 = 1,ROUND(SUM(recreation_claude_v2_5!O88,recreation_claude_v2_4!O88,recreation_claude_v2_3!O88,recreation_claude_v2_2!O88,recreation_claude_v2_1!O88)/COUNT(recreation_claude_v2_5!O88,recreation_claude_v2_4!O88,recreation_claude_v2_3!O88,recreation_claude_v2_2!O88,recreation_claude_v2_1!O88),0),"NA")</f>
        <v>1</v>
      </c>
    </row>
    <row r="89" spans="1:15" x14ac:dyDescent="0.25">
      <c r="A89" t="s">
        <v>92</v>
      </c>
      <c r="B89" t="s">
        <v>71</v>
      </c>
      <c r="C89">
        <v>0</v>
      </c>
      <c r="D89">
        <v>9.9114048480987549</v>
      </c>
      <c r="E89">
        <f>ROUND(SUM(recreation_claude_v2_5!E89,recreation_claude_v2_4!E89,recreation_claude_v2_3!E89,recreation_claude_v2_2!E89,recreation_claude_v2_1!E89)/COUNT(recreation_claude_v2_5!E89,recreation_claude_v2_4!E89,recreation_claude_v2_3!E89,recreation_claude_v2_2!E89,recreation_claude_v2_1!E89),0)</f>
        <v>1</v>
      </c>
      <c r="F89">
        <f>IF($E89 = 1,ROUND(SUM(recreation_claude_v2_5!F89,recreation_claude_v2_4!F89,recreation_claude_v2_3!F89,recreation_claude_v2_2!F89,recreation_claude_v2_1!F89)/COUNT(recreation_claude_v2_5!F89,recreation_claude_v2_4!F89,recreation_claude_v2_3!F89,recreation_claude_v2_2!F89,recreation_claude_v2_1!F89),0),"NA")</f>
        <v>1</v>
      </c>
      <c r="G89">
        <f>IF($E89 = 1,ROUND(SUM(recreation_claude_v2_5!G89,recreation_claude_v2_4!G89,recreation_claude_v2_3!G89,recreation_claude_v2_2!G89,recreation_claude_v2_1!G89)/COUNT(recreation_claude_v2_5!G89,recreation_claude_v2_4!G89,recreation_claude_v2_3!G89,recreation_claude_v2_2!G89,recreation_claude_v2_1!G89),0),"NA")</f>
        <v>1</v>
      </c>
      <c r="H89">
        <f>IF($E89 = 1,ROUND(SUM(recreation_claude_v2_5!I89,recreation_claude_v2_4!I89,recreation_claude_v2_3!I89,recreation_claude_v2_2!I89,recreation_claude_v2_1!I89)/COUNT(recreation_claude_v2_5!I89,recreation_claude_v2_4!I89,recreation_claude_v2_3!I89,recreation_claude_v2_2!I89,recreation_claude_v2_1!I89),0),"NA")</f>
        <v>1</v>
      </c>
      <c r="I89">
        <f>IF($F89 = 1,ROUND(SUM(recreation_claude_v2_5!J89,recreation_claude_v2_4!J89,recreation_claude_v2_3!J89,recreation_claude_v2_2!J89,recreation_claude_v2_1!J89)/COUNT(recreation_claude_v2_5!J89,recreation_claude_v2_4!J89,recreation_claude_v2_3!J89,recreation_claude_v2_2!J89,recreation_claude_v2_1!J89),0),"NA")</f>
        <v>1</v>
      </c>
      <c r="J89">
        <f>IF($E89 = 1,ROUND(SUM(recreation_claude_v2_5!K89,recreation_claude_v2_4!K89,recreation_claude_v2_3!K89,recreation_claude_v2_2!K89,recreation_claude_v2_1!K89)/COUNT(recreation_claude_v2_5!K89,recreation_claude_v2_4!K89,recreation_claude_v2_3!K89,recreation_claude_v2_2!K89,recreation_claude_v2_1!K89),0),"NA")</f>
        <v>1</v>
      </c>
      <c r="K89">
        <f>IF(AND($F89 = 1, $G89 = 1),ROUND(SUM(recreation_claude_v2_5!L89,recreation_claude_v2_4!L89,recreation_claude_v2_3!L89,recreation_claude_v2_2!L89,recreation_claude_v2_1!L89)/COUNT(recreation_claude_v2_5!L89,recreation_claude_v2_4!L89,recreation_claude_v2_3!L89,recreation_claude_v2_2!L89,recreation_claude_v2_1!L89),0),"NA")</f>
        <v>1</v>
      </c>
      <c r="L89">
        <f>IF($E89 = 1,ROUND(SUM(recreation_claude_v2_5!L89,recreation_claude_v2_4!L89,recreation_claude_v2_3!L89,recreation_claude_v2_2!L89,recreation_claude_v2_1!L89)/COUNT(recreation_claude_v2_5!L89,recreation_claude_v2_4!L89,recreation_claude_v2_3!L89,recreation_claude_v2_2!L89,recreation_claude_v2_1!L89),0),"NA")</f>
        <v>1</v>
      </c>
      <c r="M89">
        <f>IF($E89 = 1,ROUND(SUM(recreation_claude_v2_5!M89,recreation_claude_v2_4!M89,recreation_claude_v2_3!M89,recreation_claude_v2_2!M89,recreation_claude_v2_1!M89)/COUNT(recreation_claude_v2_5!M89,recreation_claude_v2_4!M89,recreation_claude_v2_3!M89,recreation_claude_v2_2!M89,recreation_claude_v2_1!M89),0),"NA")</f>
        <v>1</v>
      </c>
      <c r="N89">
        <f>IF($E89 = 1,ROUND(SUM(recreation_claude_v2_5!N89,recreation_claude_v2_4!N89,recreation_claude_v2_3!N89,recreation_claude_v2_2!N89,recreation_claude_v2_1!N89)/COUNT(recreation_claude_v2_5!N89,recreation_claude_v2_4!N89,recreation_claude_v2_3!N89,recreation_claude_v2_2!N89,recreation_claude_v2_1!N89),0),"NA")</f>
        <v>1</v>
      </c>
      <c r="O89">
        <f>IF($E89 = 1,ROUND(SUM(recreation_claude_v2_5!O89,recreation_claude_v2_4!O89,recreation_claude_v2_3!O89,recreation_claude_v2_2!O89,recreation_claude_v2_1!O89)/COUNT(recreation_claude_v2_5!O89,recreation_claude_v2_4!O89,recreation_claude_v2_3!O89,recreation_claude_v2_2!O89,recreation_claude_v2_1!O89),0),"NA")</f>
        <v>1</v>
      </c>
    </row>
    <row r="90" spans="1:15" x14ac:dyDescent="0.25">
      <c r="A90" t="s">
        <v>92</v>
      </c>
      <c r="B90" t="s">
        <v>73</v>
      </c>
      <c r="C90">
        <v>0</v>
      </c>
      <c r="D90">
        <v>2.8670089244842529</v>
      </c>
      <c r="E90">
        <f>ROUND(SUM(recreation_claude_v2_5!E90,recreation_claude_v2_4!E90,recreation_claude_v2_3!E90,recreation_claude_v2_2!E90,recreation_claude_v2_1!E90)/COUNT(recreation_claude_v2_5!E90,recreation_claude_v2_4!E90,recreation_claude_v2_3!E90,recreation_claude_v2_2!E90,recreation_claude_v2_1!E90),0)</f>
        <v>1</v>
      </c>
      <c r="F90">
        <f>IF($E90 = 1,ROUND(SUM(recreation_claude_v2_5!F90,recreation_claude_v2_4!F90,recreation_claude_v2_3!F90,recreation_claude_v2_2!F90,recreation_claude_v2_1!F90)/COUNT(recreation_claude_v2_5!F90,recreation_claude_v2_4!F90,recreation_claude_v2_3!F90,recreation_claude_v2_2!F90,recreation_claude_v2_1!F90),0),"NA")</f>
        <v>1</v>
      </c>
      <c r="G90">
        <f>IF($E90 = 1,ROUND(SUM(recreation_claude_v2_5!G90,recreation_claude_v2_4!G90,recreation_claude_v2_3!G90,recreation_claude_v2_2!G90,recreation_claude_v2_1!G90)/COUNT(recreation_claude_v2_5!G90,recreation_claude_v2_4!G90,recreation_claude_v2_3!G90,recreation_claude_v2_2!G90,recreation_claude_v2_1!G90),0),"NA")</f>
        <v>1</v>
      </c>
      <c r="H90">
        <f>IF($E90 = 1,ROUND(SUM(recreation_claude_v2_5!I90,recreation_claude_v2_4!I90,recreation_claude_v2_3!I90,recreation_claude_v2_2!I90,recreation_claude_v2_1!I90)/COUNT(recreation_claude_v2_5!I90,recreation_claude_v2_4!I90,recreation_claude_v2_3!I90,recreation_claude_v2_2!I90,recreation_claude_v2_1!I90),0),"NA")</f>
        <v>1</v>
      </c>
      <c r="I90">
        <f>IF($F90 = 1,ROUND(SUM(recreation_claude_v2_5!J90,recreation_claude_v2_4!J90,recreation_claude_v2_3!J90,recreation_claude_v2_2!J90,recreation_claude_v2_1!J90)/COUNT(recreation_claude_v2_5!J90,recreation_claude_v2_4!J90,recreation_claude_v2_3!J90,recreation_claude_v2_2!J90,recreation_claude_v2_1!J90),0),"NA")</f>
        <v>1</v>
      </c>
      <c r="J90">
        <f>IF($E90 = 1,ROUND(SUM(recreation_claude_v2_5!K90,recreation_claude_v2_4!K90,recreation_claude_v2_3!K90,recreation_claude_v2_2!K90,recreation_claude_v2_1!K90)/COUNT(recreation_claude_v2_5!K90,recreation_claude_v2_4!K90,recreation_claude_v2_3!K90,recreation_claude_v2_2!K90,recreation_claude_v2_1!K90),0),"NA")</f>
        <v>1</v>
      </c>
      <c r="K90">
        <f>IF(AND($F90 = 1, $G90 = 1),ROUND(SUM(recreation_claude_v2_5!L90,recreation_claude_v2_4!L90,recreation_claude_v2_3!L90,recreation_claude_v2_2!L90,recreation_claude_v2_1!L90)/COUNT(recreation_claude_v2_5!L90,recreation_claude_v2_4!L90,recreation_claude_v2_3!L90,recreation_claude_v2_2!L90,recreation_claude_v2_1!L90),0),"NA")</f>
        <v>1</v>
      </c>
      <c r="L90">
        <f>IF($E90 = 1,ROUND(SUM(recreation_claude_v2_5!L90,recreation_claude_v2_4!L90,recreation_claude_v2_3!L90,recreation_claude_v2_2!L90,recreation_claude_v2_1!L90)/COUNT(recreation_claude_v2_5!L90,recreation_claude_v2_4!L90,recreation_claude_v2_3!L90,recreation_claude_v2_2!L90,recreation_claude_v2_1!L90),0),"NA")</f>
        <v>1</v>
      </c>
      <c r="M90">
        <f>IF($E90 = 1,ROUND(SUM(recreation_claude_v2_5!M90,recreation_claude_v2_4!M90,recreation_claude_v2_3!M90,recreation_claude_v2_2!M90,recreation_claude_v2_1!M90)/COUNT(recreation_claude_v2_5!M90,recreation_claude_v2_4!M90,recreation_claude_v2_3!M90,recreation_claude_v2_2!M90,recreation_claude_v2_1!M90),0),"NA")</f>
        <v>1</v>
      </c>
      <c r="N90">
        <f>IF($E90 = 1,ROUND(SUM(recreation_claude_v2_5!N90,recreation_claude_v2_4!N90,recreation_claude_v2_3!N90,recreation_claude_v2_2!N90,recreation_claude_v2_1!N90)/COUNT(recreation_claude_v2_5!N90,recreation_claude_v2_4!N90,recreation_claude_v2_3!N90,recreation_claude_v2_2!N90,recreation_claude_v2_1!N90),0),"NA")</f>
        <v>1</v>
      </c>
      <c r="O90">
        <f>IF($E90 = 1,ROUND(SUM(recreation_claude_v2_5!O90,recreation_claude_v2_4!O90,recreation_claude_v2_3!O90,recreation_claude_v2_2!O90,recreation_claude_v2_1!O90)/COUNT(recreation_claude_v2_5!O90,recreation_claude_v2_4!O90,recreation_claude_v2_3!O90,recreation_claude_v2_2!O90,recreation_claude_v2_1!O90),0),"NA")</f>
        <v>1</v>
      </c>
    </row>
    <row r="91" spans="1:15" x14ac:dyDescent="0.25">
      <c r="A91" t="s">
        <v>92</v>
      </c>
      <c r="B91" t="s">
        <v>75</v>
      </c>
      <c r="C91">
        <v>0</v>
      </c>
      <c r="D91">
        <v>2.9690179824829102</v>
      </c>
      <c r="E91">
        <f>ROUND(SUM(recreation_claude_v2_5!E91,recreation_claude_v2_4!E91,recreation_claude_v2_3!E91,recreation_claude_v2_2!E91,recreation_claude_v2_1!E91)/COUNT(recreation_claude_v2_5!E91,recreation_claude_v2_4!E91,recreation_claude_v2_3!E91,recreation_claude_v2_2!E91,recreation_claude_v2_1!E91),0)</f>
        <v>1</v>
      </c>
      <c r="F91">
        <f>IF($E91 = 1,ROUND(SUM(recreation_claude_v2_5!F91,recreation_claude_v2_4!F91,recreation_claude_v2_3!F91,recreation_claude_v2_2!F91,recreation_claude_v2_1!F91)/COUNT(recreation_claude_v2_5!F91,recreation_claude_v2_4!F91,recreation_claude_v2_3!F91,recreation_claude_v2_2!F91,recreation_claude_v2_1!F91),0),"NA")</f>
        <v>1</v>
      </c>
      <c r="G91">
        <f>IF($E91 = 1,ROUND(SUM(recreation_claude_v2_5!G91,recreation_claude_v2_4!G91,recreation_claude_v2_3!G91,recreation_claude_v2_2!G91,recreation_claude_v2_1!G91)/COUNT(recreation_claude_v2_5!G91,recreation_claude_v2_4!G91,recreation_claude_v2_3!G91,recreation_claude_v2_2!G91,recreation_claude_v2_1!G91),0),"NA")</f>
        <v>1</v>
      </c>
      <c r="H91">
        <f>IF($E91 = 1,ROUND(SUM(recreation_claude_v2_5!I91,recreation_claude_v2_4!I91,recreation_claude_v2_3!I91,recreation_claude_v2_2!I91,recreation_claude_v2_1!I91)/COUNT(recreation_claude_v2_5!I91,recreation_claude_v2_4!I91,recreation_claude_v2_3!I91,recreation_claude_v2_2!I91,recreation_claude_v2_1!I91),0),"NA")</f>
        <v>1</v>
      </c>
      <c r="I91">
        <f>IF($F91 = 1,ROUND(SUM(recreation_claude_v2_5!J91,recreation_claude_v2_4!J91,recreation_claude_v2_3!J91,recreation_claude_v2_2!J91,recreation_claude_v2_1!J91)/COUNT(recreation_claude_v2_5!J91,recreation_claude_v2_4!J91,recreation_claude_v2_3!J91,recreation_claude_v2_2!J91,recreation_claude_v2_1!J91),0),"NA")</f>
        <v>1</v>
      </c>
      <c r="J91">
        <f>IF($E91 = 1,ROUND(SUM(recreation_claude_v2_5!K91,recreation_claude_v2_4!K91,recreation_claude_v2_3!K91,recreation_claude_v2_2!K91,recreation_claude_v2_1!K91)/COUNT(recreation_claude_v2_5!K91,recreation_claude_v2_4!K91,recreation_claude_v2_3!K91,recreation_claude_v2_2!K91,recreation_claude_v2_1!K91),0),"NA")</f>
        <v>1</v>
      </c>
      <c r="K91">
        <f>IF(AND($F91 = 1, $G91 = 1),ROUND(SUM(recreation_claude_v2_5!L91,recreation_claude_v2_4!L91,recreation_claude_v2_3!L91,recreation_claude_v2_2!L91,recreation_claude_v2_1!L91)/COUNT(recreation_claude_v2_5!L91,recreation_claude_v2_4!L91,recreation_claude_v2_3!L91,recreation_claude_v2_2!L91,recreation_claude_v2_1!L91),0),"NA")</f>
        <v>1</v>
      </c>
      <c r="L91">
        <f>IF($E91 = 1,ROUND(SUM(recreation_claude_v2_5!L91,recreation_claude_v2_4!L91,recreation_claude_v2_3!L91,recreation_claude_v2_2!L91,recreation_claude_v2_1!L91)/COUNT(recreation_claude_v2_5!L91,recreation_claude_v2_4!L91,recreation_claude_v2_3!L91,recreation_claude_v2_2!L91,recreation_claude_v2_1!L91),0),"NA")</f>
        <v>1</v>
      </c>
      <c r="M91">
        <f>IF($E91 = 1,ROUND(SUM(recreation_claude_v2_5!M91,recreation_claude_v2_4!M91,recreation_claude_v2_3!M91,recreation_claude_v2_2!M91,recreation_claude_v2_1!M91)/COUNT(recreation_claude_v2_5!M91,recreation_claude_v2_4!M91,recreation_claude_v2_3!M91,recreation_claude_v2_2!M91,recreation_claude_v2_1!M91),0),"NA")</f>
        <v>1</v>
      </c>
      <c r="N91">
        <f>IF($E91 = 1,ROUND(SUM(recreation_claude_v2_5!N91,recreation_claude_v2_4!N91,recreation_claude_v2_3!N91,recreation_claude_v2_2!N91,recreation_claude_v2_1!N91)/COUNT(recreation_claude_v2_5!N91,recreation_claude_v2_4!N91,recreation_claude_v2_3!N91,recreation_claude_v2_2!N91,recreation_claude_v2_1!N91),0),"NA")</f>
        <v>1</v>
      </c>
      <c r="O91">
        <f>IF($E91 = 1,ROUND(SUM(recreation_claude_v2_5!O91,recreation_claude_v2_4!O91,recreation_claude_v2_3!O91,recreation_claude_v2_2!O91,recreation_claude_v2_1!O91)/COUNT(recreation_claude_v2_5!O91,recreation_claude_v2_4!O91,recreation_claude_v2_3!O91,recreation_claude_v2_2!O91,recreation_claude_v2_1!O91),0),"NA")</f>
        <v>1</v>
      </c>
    </row>
    <row r="92" spans="1:15" x14ac:dyDescent="0.25">
      <c r="A92" t="s">
        <v>92</v>
      </c>
      <c r="B92" t="s">
        <v>77</v>
      </c>
      <c r="C92">
        <v>0</v>
      </c>
      <c r="D92">
        <v>9.946465015411377</v>
      </c>
      <c r="E92">
        <f>ROUND(SUM(recreation_claude_v2_5!E92,recreation_claude_v2_4!E92,recreation_claude_v2_3!E92,recreation_claude_v2_2!E92,recreation_claude_v2_1!E92)/COUNT(recreation_claude_v2_5!E92,recreation_claude_v2_4!E92,recreation_claude_v2_3!E92,recreation_claude_v2_2!E92,recreation_claude_v2_1!E92),0)</f>
        <v>1</v>
      </c>
      <c r="F92">
        <f>IF($E92 = 1,ROUND(SUM(recreation_claude_v2_5!F92,recreation_claude_v2_4!F92,recreation_claude_v2_3!F92,recreation_claude_v2_2!F92,recreation_claude_v2_1!F92)/COUNT(recreation_claude_v2_5!F92,recreation_claude_v2_4!F92,recreation_claude_v2_3!F92,recreation_claude_v2_2!F92,recreation_claude_v2_1!F92),0),"NA")</f>
        <v>1</v>
      </c>
      <c r="G92">
        <f>IF($E92 = 1,ROUND(SUM(recreation_claude_v2_5!G92,recreation_claude_v2_4!G92,recreation_claude_v2_3!G92,recreation_claude_v2_2!G92,recreation_claude_v2_1!G92)/COUNT(recreation_claude_v2_5!G92,recreation_claude_v2_4!G92,recreation_claude_v2_3!G92,recreation_claude_v2_2!G92,recreation_claude_v2_1!G92),0),"NA")</f>
        <v>1</v>
      </c>
      <c r="H92">
        <f>IF($E92 = 1,ROUND(SUM(recreation_claude_v2_5!I92,recreation_claude_v2_4!I92,recreation_claude_v2_3!I92,recreation_claude_v2_2!I92,recreation_claude_v2_1!I92)/COUNT(recreation_claude_v2_5!I92,recreation_claude_v2_4!I92,recreation_claude_v2_3!I92,recreation_claude_v2_2!I92,recreation_claude_v2_1!I92),0),"NA")</f>
        <v>1</v>
      </c>
      <c r="I92">
        <f>IF($F92 = 1,ROUND(SUM(recreation_claude_v2_5!J92,recreation_claude_v2_4!J92,recreation_claude_v2_3!J92,recreation_claude_v2_2!J92,recreation_claude_v2_1!J92)/COUNT(recreation_claude_v2_5!J92,recreation_claude_v2_4!J92,recreation_claude_v2_3!J92,recreation_claude_v2_2!J92,recreation_claude_v2_1!J92),0),"NA")</f>
        <v>1</v>
      </c>
      <c r="J92">
        <f>IF($E92 = 1,ROUND(SUM(recreation_claude_v2_5!K92,recreation_claude_v2_4!K92,recreation_claude_v2_3!K92,recreation_claude_v2_2!K92,recreation_claude_v2_1!K92)/COUNT(recreation_claude_v2_5!K92,recreation_claude_v2_4!K92,recreation_claude_v2_3!K92,recreation_claude_v2_2!K92,recreation_claude_v2_1!K92),0),"NA")</f>
        <v>1</v>
      </c>
      <c r="K92">
        <f>IF(AND($F92 = 1, $G92 = 1),ROUND(SUM(recreation_claude_v2_5!L92,recreation_claude_v2_4!L92,recreation_claude_v2_3!L92,recreation_claude_v2_2!L92,recreation_claude_v2_1!L92)/COUNT(recreation_claude_v2_5!L92,recreation_claude_v2_4!L92,recreation_claude_v2_3!L92,recreation_claude_v2_2!L92,recreation_claude_v2_1!L92),0),"NA")</f>
        <v>1</v>
      </c>
      <c r="L92">
        <f>IF($E92 = 1,ROUND(SUM(recreation_claude_v2_5!L92,recreation_claude_v2_4!L92,recreation_claude_v2_3!L92,recreation_claude_v2_2!L92,recreation_claude_v2_1!L92)/COUNT(recreation_claude_v2_5!L92,recreation_claude_v2_4!L92,recreation_claude_v2_3!L92,recreation_claude_v2_2!L92,recreation_claude_v2_1!L92),0),"NA")</f>
        <v>1</v>
      </c>
      <c r="M92">
        <f>IF($E92 = 1,ROUND(SUM(recreation_claude_v2_5!M92,recreation_claude_v2_4!M92,recreation_claude_v2_3!M92,recreation_claude_v2_2!M92,recreation_claude_v2_1!M92)/COUNT(recreation_claude_v2_5!M92,recreation_claude_v2_4!M92,recreation_claude_v2_3!M92,recreation_claude_v2_2!M92,recreation_claude_v2_1!M92),0),"NA")</f>
        <v>1</v>
      </c>
      <c r="N92">
        <f>IF($E92 = 1,ROUND(SUM(recreation_claude_v2_5!N92,recreation_claude_v2_4!N92,recreation_claude_v2_3!N92,recreation_claude_v2_2!N92,recreation_claude_v2_1!N92)/COUNT(recreation_claude_v2_5!N92,recreation_claude_v2_4!N92,recreation_claude_v2_3!N92,recreation_claude_v2_2!N92,recreation_claude_v2_1!N92),0),"NA")</f>
        <v>1</v>
      </c>
      <c r="O92">
        <f>IF($E92 = 1,ROUND(SUM(recreation_claude_v2_5!O92,recreation_claude_v2_4!O92,recreation_claude_v2_3!O92,recreation_claude_v2_2!O92,recreation_claude_v2_1!O92)/COUNT(recreation_claude_v2_5!O92,recreation_claude_v2_4!O92,recreation_claude_v2_3!O92,recreation_claude_v2_2!O92,recreation_claude_v2_1!O92),0),"NA")</f>
        <v>1</v>
      </c>
    </row>
    <row r="93" spans="1:15" x14ac:dyDescent="0.25">
      <c r="A93" t="s">
        <v>92</v>
      </c>
      <c r="B93" t="s">
        <v>79</v>
      </c>
      <c r="C93">
        <v>0</v>
      </c>
      <c r="D93">
        <v>2.8073866367340088</v>
      </c>
      <c r="E93">
        <f>ROUND(SUM(recreation_claude_v2_5!E93,recreation_claude_v2_4!E93,recreation_claude_v2_3!E93,recreation_claude_v2_2!E93,recreation_claude_v2_1!E93)/COUNT(recreation_claude_v2_5!E93,recreation_claude_v2_4!E93,recreation_claude_v2_3!E93,recreation_claude_v2_2!E93,recreation_claude_v2_1!E93),0)</f>
        <v>1</v>
      </c>
      <c r="F93">
        <f>IF($E93 = 1,ROUND(SUM(recreation_claude_v2_5!F93,recreation_claude_v2_4!F93,recreation_claude_v2_3!F93,recreation_claude_v2_2!F93,recreation_claude_v2_1!F93)/COUNT(recreation_claude_v2_5!F93,recreation_claude_v2_4!F93,recreation_claude_v2_3!F93,recreation_claude_v2_2!F93,recreation_claude_v2_1!F93),0),"NA")</f>
        <v>1</v>
      </c>
      <c r="G93">
        <f>IF($E93 = 1,ROUND(SUM(recreation_claude_v2_5!G93,recreation_claude_v2_4!G93,recreation_claude_v2_3!G93,recreation_claude_v2_2!G93,recreation_claude_v2_1!G93)/COUNT(recreation_claude_v2_5!G93,recreation_claude_v2_4!G93,recreation_claude_v2_3!G93,recreation_claude_v2_2!G93,recreation_claude_v2_1!G93),0),"NA")</f>
        <v>1</v>
      </c>
      <c r="H93">
        <f>IF($E93 = 1,ROUND(SUM(recreation_claude_v2_5!I93,recreation_claude_v2_4!I93,recreation_claude_v2_3!I93,recreation_claude_v2_2!I93,recreation_claude_v2_1!I93)/COUNT(recreation_claude_v2_5!I93,recreation_claude_v2_4!I93,recreation_claude_v2_3!I93,recreation_claude_v2_2!I93,recreation_claude_v2_1!I93),0),"NA")</f>
        <v>1</v>
      </c>
      <c r="I93">
        <f>IF($F93 = 1,ROUND(SUM(recreation_claude_v2_5!J93,recreation_claude_v2_4!J93,recreation_claude_v2_3!J93,recreation_claude_v2_2!J93,recreation_claude_v2_1!J93)/COUNT(recreation_claude_v2_5!J93,recreation_claude_v2_4!J93,recreation_claude_v2_3!J93,recreation_claude_v2_2!J93,recreation_claude_v2_1!J93),0),"NA")</f>
        <v>0</v>
      </c>
      <c r="J93">
        <f>IF($E93 = 1,ROUND(SUM(recreation_claude_v2_5!K93,recreation_claude_v2_4!K93,recreation_claude_v2_3!K93,recreation_claude_v2_2!K93,recreation_claude_v2_1!K93)/COUNT(recreation_claude_v2_5!K93,recreation_claude_v2_4!K93,recreation_claude_v2_3!K93,recreation_claude_v2_2!K93,recreation_claude_v2_1!K93),0),"NA")</f>
        <v>1</v>
      </c>
      <c r="K93">
        <f>IF(AND($F93 = 1, $G93 = 1),ROUND(SUM(recreation_claude_v2_5!L93,recreation_claude_v2_4!L93,recreation_claude_v2_3!L93,recreation_claude_v2_2!L93,recreation_claude_v2_1!L93)/COUNT(recreation_claude_v2_5!L93,recreation_claude_v2_4!L93,recreation_claude_v2_3!L93,recreation_claude_v2_2!L93,recreation_claude_v2_1!L93),0),"NA")</f>
        <v>1</v>
      </c>
      <c r="L93">
        <f>IF($E93 = 1,ROUND(SUM(recreation_claude_v2_5!L93,recreation_claude_v2_4!L93,recreation_claude_v2_3!L93,recreation_claude_v2_2!L93,recreation_claude_v2_1!L93)/COUNT(recreation_claude_v2_5!L93,recreation_claude_v2_4!L93,recreation_claude_v2_3!L93,recreation_claude_v2_2!L93,recreation_claude_v2_1!L93),0),"NA")</f>
        <v>1</v>
      </c>
      <c r="M93">
        <f>IF($E93 = 1,ROUND(SUM(recreation_claude_v2_5!M93,recreation_claude_v2_4!M93,recreation_claude_v2_3!M93,recreation_claude_v2_2!M93,recreation_claude_v2_1!M93)/COUNT(recreation_claude_v2_5!M93,recreation_claude_v2_4!M93,recreation_claude_v2_3!M93,recreation_claude_v2_2!M93,recreation_claude_v2_1!M93),0),"NA")</f>
        <v>1</v>
      </c>
      <c r="N93">
        <f>IF($E93 = 1,ROUND(SUM(recreation_claude_v2_5!N93,recreation_claude_v2_4!N93,recreation_claude_v2_3!N93,recreation_claude_v2_2!N93,recreation_claude_v2_1!N93)/COUNT(recreation_claude_v2_5!N93,recreation_claude_v2_4!N93,recreation_claude_v2_3!N93,recreation_claude_v2_2!N93,recreation_claude_v2_1!N93),0),"NA")</f>
        <v>1</v>
      </c>
      <c r="O93">
        <f>IF($E93 = 1,ROUND(SUM(recreation_claude_v2_5!O93,recreation_claude_v2_4!O93,recreation_claude_v2_3!O93,recreation_claude_v2_2!O93,recreation_claude_v2_1!O93)/COUNT(recreation_claude_v2_5!O93,recreation_claude_v2_4!O93,recreation_claude_v2_3!O93,recreation_claude_v2_2!O93,recreation_claude_v2_1!O93),0),"NA")</f>
        <v>1</v>
      </c>
    </row>
    <row r="94" spans="1:15" x14ac:dyDescent="0.25">
      <c r="A94" t="s">
        <v>92</v>
      </c>
      <c r="B94" t="s">
        <v>81</v>
      </c>
      <c r="C94">
        <v>0</v>
      </c>
      <c r="D94">
        <v>11.144024610519409</v>
      </c>
      <c r="E94">
        <f>ROUND(SUM(recreation_claude_v2_5!E94,recreation_claude_v2_4!E94,recreation_claude_v2_3!E94,recreation_claude_v2_2!E94,recreation_claude_v2_1!E94)/COUNT(recreation_claude_v2_5!E94,recreation_claude_v2_4!E94,recreation_claude_v2_3!E94,recreation_claude_v2_2!E94,recreation_claude_v2_1!E94),0)</f>
        <v>1</v>
      </c>
      <c r="F94">
        <f>IF($E94 = 1,ROUND(SUM(recreation_claude_v2_5!F94,recreation_claude_v2_4!F94,recreation_claude_v2_3!F94,recreation_claude_v2_2!F94,recreation_claude_v2_1!F94)/COUNT(recreation_claude_v2_5!F94,recreation_claude_v2_4!F94,recreation_claude_v2_3!F94,recreation_claude_v2_2!F94,recreation_claude_v2_1!F94),0),"NA")</f>
        <v>1</v>
      </c>
      <c r="G94">
        <f>IF($E94 = 1,ROUND(SUM(recreation_claude_v2_5!G94,recreation_claude_v2_4!G94,recreation_claude_v2_3!G94,recreation_claude_v2_2!G94,recreation_claude_v2_1!G94)/COUNT(recreation_claude_v2_5!G94,recreation_claude_v2_4!G94,recreation_claude_v2_3!G94,recreation_claude_v2_2!G94,recreation_claude_v2_1!G94),0),"NA")</f>
        <v>1</v>
      </c>
      <c r="H94">
        <f>IF($E94 = 1,ROUND(SUM(recreation_claude_v2_5!I94,recreation_claude_v2_4!I94,recreation_claude_v2_3!I94,recreation_claude_v2_2!I94,recreation_claude_v2_1!I94)/COUNT(recreation_claude_v2_5!I94,recreation_claude_v2_4!I94,recreation_claude_v2_3!I94,recreation_claude_v2_2!I94,recreation_claude_v2_1!I94),0),"NA")</f>
        <v>1</v>
      </c>
      <c r="I94">
        <f>IF($F94 = 1,ROUND(SUM(recreation_claude_v2_5!J94,recreation_claude_v2_4!J94,recreation_claude_v2_3!J94,recreation_claude_v2_2!J94,recreation_claude_v2_1!J94)/COUNT(recreation_claude_v2_5!J94,recreation_claude_v2_4!J94,recreation_claude_v2_3!J94,recreation_claude_v2_2!J94,recreation_claude_v2_1!J94),0),"NA")</f>
        <v>1</v>
      </c>
      <c r="J94">
        <f>IF($E94 = 1,ROUND(SUM(recreation_claude_v2_5!K94,recreation_claude_v2_4!K94,recreation_claude_v2_3!K94,recreation_claude_v2_2!K94,recreation_claude_v2_1!K94)/COUNT(recreation_claude_v2_5!K94,recreation_claude_v2_4!K94,recreation_claude_v2_3!K94,recreation_claude_v2_2!K94,recreation_claude_v2_1!K94),0),"NA")</f>
        <v>1</v>
      </c>
      <c r="K94">
        <f>IF(AND($F94 = 1, $G94 = 1),ROUND(SUM(recreation_claude_v2_5!L94,recreation_claude_v2_4!L94,recreation_claude_v2_3!L94,recreation_claude_v2_2!L94,recreation_claude_v2_1!L94)/COUNT(recreation_claude_v2_5!L94,recreation_claude_v2_4!L94,recreation_claude_v2_3!L94,recreation_claude_v2_2!L94,recreation_claude_v2_1!L94),0),"NA")</f>
        <v>1</v>
      </c>
      <c r="L94">
        <f>IF($E94 = 1,ROUND(SUM(recreation_claude_v2_5!L94,recreation_claude_v2_4!L94,recreation_claude_v2_3!L94,recreation_claude_v2_2!L94,recreation_claude_v2_1!L94)/COUNT(recreation_claude_v2_5!L94,recreation_claude_v2_4!L94,recreation_claude_v2_3!L94,recreation_claude_v2_2!L94,recreation_claude_v2_1!L94),0),"NA")</f>
        <v>1</v>
      </c>
      <c r="M94">
        <f>IF($E94 = 1,ROUND(SUM(recreation_claude_v2_5!M94,recreation_claude_v2_4!M94,recreation_claude_v2_3!M94,recreation_claude_v2_2!M94,recreation_claude_v2_1!M94)/COUNT(recreation_claude_v2_5!M94,recreation_claude_v2_4!M94,recreation_claude_v2_3!M94,recreation_claude_v2_2!M94,recreation_claude_v2_1!M94),0),"NA")</f>
        <v>1</v>
      </c>
      <c r="N94">
        <f>IF($E94 = 1,ROUND(SUM(recreation_claude_v2_5!N94,recreation_claude_v2_4!N94,recreation_claude_v2_3!N94,recreation_claude_v2_2!N94,recreation_claude_v2_1!N94)/COUNT(recreation_claude_v2_5!N94,recreation_claude_v2_4!N94,recreation_claude_v2_3!N94,recreation_claude_v2_2!N94,recreation_claude_v2_1!N94),0),"NA")</f>
        <v>1</v>
      </c>
      <c r="O94">
        <f>IF($E94 = 1,ROUND(SUM(recreation_claude_v2_5!O94,recreation_claude_v2_4!O94,recreation_claude_v2_3!O94,recreation_claude_v2_2!O94,recreation_claude_v2_1!O94)/COUNT(recreation_claude_v2_5!O94,recreation_claude_v2_4!O94,recreation_claude_v2_3!O94,recreation_claude_v2_2!O94,recreation_claude_v2_1!O94),0),"NA")</f>
        <v>1</v>
      </c>
    </row>
    <row r="95" spans="1:15" x14ac:dyDescent="0.25">
      <c r="A95" t="s">
        <v>92</v>
      </c>
      <c r="B95" t="s">
        <v>83</v>
      </c>
      <c r="C95">
        <v>0</v>
      </c>
      <c r="D95">
        <v>13.603111028671259</v>
      </c>
      <c r="E95">
        <f>ROUND(SUM(recreation_claude_v2_5!E95,recreation_claude_v2_4!E95,recreation_claude_v2_3!E95,recreation_claude_v2_2!E95,recreation_claude_v2_1!E95)/COUNT(recreation_claude_v2_5!E95,recreation_claude_v2_4!E95,recreation_claude_v2_3!E95,recreation_claude_v2_2!E95,recreation_claude_v2_1!E95),0)</f>
        <v>1</v>
      </c>
      <c r="F95">
        <f>IF($E95 = 1,ROUND(SUM(recreation_claude_v2_5!F95,recreation_claude_v2_4!F95,recreation_claude_v2_3!F95,recreation_claude_v2_2!F95,recreation_claude_v2_1!F95)/COUNT(recreation_claude_v2_5!F95,recreation_claude_v2_4!F95,recreation_claude_v2_3!F95,recreation_claude_v2_2!F95,recreation_claude_v2_1!F95),0),"NA")</f>
        <v>1</v>
      </c>
      <c r="G95">
        <f>IF($E95 = 1,ROUND(SUM(recreation_claude_v2_5!G95,recreation_claude_v2_4!G95,recreation_claude_v2_3!G95,recreation_claude_v2_2!G95,recreation_claude_v2_1!G95)/COUNT(recreation_claude_v2_5!G95,recreation_claude_v2_4!G95,recreation_claude_v2_3!G95,recreation_claude_v2_2!G95,recreation_claude_v2_1!G95),0),"NA")</f>
        <v>1</v>
      </c>
      <c r="H95">
        <f>IF($E95 = 1,ROUND(SUM(recreation_claude_v2_5!I95,recreation_claude_v2_4!I95,recreation_claude_v2_3!I95,recreation_claude_v2_2!I95,recreation_claude_v2_1!I95)/COUNT(recreation_claude_v2_5!I95,recreation_claude_v2_4!I95,recreation_claude_v2_3!I95,recreation_claude_v2_2!I95,recreation_claude_v2_1!I95),0),"NA")</f>
        <v>1</v>
      </c>
      <c r="I95">
        <f>IF($F95 = 1,ROUND(SUM(recreation_claude_v2_5!J95,recreation_claude_v2_4!J95,recreation_claude_v2_3!J95,recreation_claude_v2_2!J95,recreation_claude_v2_1!J95)/COUNT(recreation_claude_v2_5!J95,recreation_claude_v2_4!J95,recreation_claude_v2_3!J95,recreation_claude_v2_2!J95,recreation_claude_v2_1!J95),0),"NA")</f>
        <v>0</v>
      </c>
      <c r="J95">
        <f>IF($E95 = 1,ROUND(SUM(recreation_claude_v2_5!K95,recreation_claude_v2_4!K95,recreation_claude_v2_3!K95,recreation_claude_v2_2!K95,recreation_claude_v2_1!K95)/COUNT(recreation_claude_v2_5!K95,recreation_claude_v2_4!K95,recreation_claude_v2_3!K95,recreation_claude_v2_2!K95,recreation_claude_v2_1!K95),0),"NA")</f>
        <v>1</v>
      </c>
      <c r="K95">
        <f>IF(AND($F95 = 1, $G95 = 1),ROUND(SUM(recreation_claude_v2_5!L95,recreation_claude_v2_4!L95,recreation_claude_v2_3!L95,recreation_claude_v2_2!L95,recreation_claude_v2_1!L95)/COUNT(recreation_claude_v2_5!L95,recreation_claude_v2_4!L95,recreation_claude_v2_3!L95,recreation_claude_v2_2!L95,recreation_claude_v2_1!L95),0),"NA")</f>
        <v>1</v>
      </c>
      <c r="L95">
        <f>IF($E95 = 1,ROUND(SUM(recreation_claude_v2_5!L95,recreation_claude_v2_4!L95,recreation_claude_v2_3!L95,recreation_claude_v2_2!L95,recreation_claude_v2_1!L95)/COUNT(recreation_claude_v2_5!L95,recreation_claude_v2_4!L95,recreation_claude_v2_3!L95,recreation_claude_v2_2!L95,recreation_claude_v2_1!L95),0),"NA")</f>
        <v>1</v>
      </c>
      <c r="M95">
        <f>IF($E95 = 1,ROUND(SUM(recreation_claude_v2_5!M95,recreation_claude_v2_4!M95,recreation_claude_v2_3!M95,recreation_claude_v2_2!M95,recreation_claude_v2_1!M95)/COUNT(recreation_claude_v2_5!M95,recreation_claude_v2_4!M95,recreation_claude_v2_3!M95,recreation_claude_v2_2!M95,recreation_claude_v2_1!M95),0),"NA")</f>
        <v>1</v>
      </c>
      <c r="N95">
        <f>IF($E95 = 1,ROUND(SUM(recreation_claude_v2_5!N95,recreation_claude_v2_4!N95,recreation_claude_v2_3!N95,recreation_claude_v2_2!N95,recreation_claude_v2_1!N95)/COUNT(recreation_claude_v2_5!N95,recreation_claude_v2_4!N95,recreation_claude_v2_3!N95,recreation_claude_v2_2!N95,recreation_claude_v2_1!N95),0),"NA")</f>
        <v>1</v>
      </c>
      <c r="O95">
        <f>IF($E95 = 1,ROUND(SUM(recreation_claude_v2_5!O95,recreation_claude_v2_4!O95,recreation_claude_v2_3!O95,recreation_claude_v2_2!O95,recreation_claude_v2_1!O95)/COUNT(recreation_claude_v2_5!O95,recreation_claude_v2_4!O95,recreation_claude_v2_3!O95,recreation_claude_v2_2!O95,recreation_claude_v2_1!O95),0),"NA")</f>
        <v>1</v>
      </c>
    </row>
    <row r="96" spans="1:15" x14ac:dyDescent="0.25">
      <c r="A96" t="s">
        <v>92</v>
      </c>
      <c r="B96" t="s">
        <v>85</v>
      </c>
      <c r="C96">
        <v>0</v>
      </c>
      <c r="D96">
        <v>7.8926689624786377</v>
      </c>
      <c r="E96">
        <f>ROUND(SUM(recreation_claude_v2_5!E96,recreation_claude_v2_4!E96,recreation_claude_v2_3!E96,recreation_claude_v2_2!E96,recreation_claude_v2_1!E96)/COUNT(recreation_claude_v2_5!E96,recreation_claude_v2_4!E96,recreation_claude_v2_3!E96,recreation_claude_v2_2!E96,recreation_claude_v2_1!E96),0)</f>
        <v>1</v>
      </c>
      <c r="F96">
        <f>IF($E96 = 1,ROUND(SUM(recreation_claude_v2_5!F96,recreation_claude_v2_4!F96,recreation_claude_v2_3!F96,recreation_claude_v2_2!F96,recreation_claude_v2_1!F96)/COUNT(recreation_claude_v2_5!F96,recreation_claude_v2_4!F96,recreation_claude_v2_3!F96,recreation_claude_v2_2!F96,recreation_claude_v2_1!F96),0),"NA")</f>
        <v>1</v>
      </c>
      <c r="G96">
        <f>IF($E96 = 1,ROUND(SUM(recreation_claude_v2_5!G96,recreation_claude_v2_4!G96,recreation_claude_v2_3!G96,recreation_claude_v2_2!G96,recreation_claude_v2_1!G96)/COUNT(recreation_claude_v2_5!G96,recreation_claude_v2_4!G96,recreation_claude_v2_3!G96,recreation_claude_v2_2!G96,recreation_claude_v2_1!G96),0),"NA")</f>
        <v>1</v>
      </c>
      <c r="H96">
        <f>IF($E96 = 1,ROUND(SUM(recreation_claude_v2_5!I96,recreation_claude_v2_4!I96,recreation_claude_v2_3!I96,recreation_claude_v2_2!I96,recreation_claude_v2_1!I96)/COUNT(recreation_claude_v2_5!I96,recreation_claude_v2_4!I96,recreation_claude_v2_3!I96,recreation_claude_v2_2!I96,recreation_claude_v2_1!I96),0),"NA")</f>
        <v>1</v>
      </c>
      <c r="I96">
        <f>IF($F96 = 1,ROUND(SUM(recreation_claude_v2_5!J96,recreation_claude_v2_4!J96,recreation_claude_v2_3!J96,recreation_claude_v2_2!J96,recreation_claude_v2_1!J96)/COUNT(recreation_claude_v2_5!J96,recreation_claude_v2_4!J96,recreation_claude_v2_3!J96,recreation_claude_v2_2!J96,recreation_claude_v2_1!J96),0),"NA")</f>
        <v>0</v>
      </c>
      <c r="J96">
        <f>IF($E96 = 1,ROUND(SUM(recreation_claude_v2_5!K96,recreation_claude_v2_4!K96,recreation_claude_v2_3!K96,recreation_claude_v2_2!K96,recreation_claude_v2_1!K96)/COUNT(recreation_claude_v2_5!K96,recreation_claude_v2_4!K96,recreation_claude_v2_3!K96,recreation_claude_v2_2!K96,recreation_claude_v2_1!K96),0),"NA")</f>
        <v>1</v>
      </c>
      <c r="K96">
        <f>IF(AND($F96 = 1, $G96 = 1),ROUND(SUM(recreation_claude_v2_5!L96,recreation_claude_v2_4!L96,recreation_claude_v2_3!L96,recreation_claude_v2_2!L96,recreation_claude_v2_1!L96)/COUNT(recreation_claude_v2_5!L96,recreation_claude_v2_4!L96,recreation_claude_v2_3!L96,recreation_claude_v2_2!L96,recreation_claude_v2_1!L96),0),"NA")</f>
        <v>1</v>
      </c>
      <c r="L96">
        <f>IF($E96 = 1,ROUND(SUM(recreation_claude_v2_5!L96,recreation_claude_v2_4!L96,recreation_claude_v2_3!L96,recreation_claude_v2_2!L96,recreation_claude_v2_1!L96)/COUNT(recreation_claude_v2_5!L96,recreation_claude_v2_4!L96,recreation_claude_v2_3!L96,recreation_claude_v2_2!L96,recreation_claude_v2_1!L96),0),"NA")</f>
        <v>1</v>
      </c>
      <c r="M96">
        <f>IF($E96 = 1,ROUND(SUM(recreation_claude_v2_5!M96,recreation_claude_v2_4!M96,recreation_claude_v2_3!M96,recreation_claude_v2_2!M96,recreation_claude_v2_1!M96)/COUNT(recreation_claude_v2_5!M96,recreation_claude_v2_4!M96,recreation_claude_v2_3!M96,recreation_claude_v2_2!M96,recreation_claude_v2_1!M96),0),"NA")</f>
        <v>1</v>
      </c>
      <c r="N96">
        <f>IF($E96 = 1,ROUND(SUM(recreation_claude_v2_5!N96,recreation_claude_v2_4!N96,recreation_claude_v2_3!N96,recreation_claude_v2_2!N96,recreation_claude_v2_1!N96)/COUNT(recreation_claude_v2_5!N96,recreation_claude_v2_4!N96,recreation_claude_v2_3!N96,recreation_claude_v2_2!N96,recreation_claude_v2_1!N96),0),"NA")</f>
        <v>1</v>
      </c>
      <c r="O96">
        <f>IF($E96 = 1,ROUND(SUM(recreation_claude_v2_5!O96,recreation_claude_v2_4!O96,recreation_claude_v2_3!O96,recreation_claude_v2_2!O96,recreation_claude_v2_1!O96)/COUNT(recreation_claude_v2_5!O96,recreation_claude_v2_4!O96,recreation_claude_v2_3!O96,recreation_claude_v2_2!O96,recreation_claude_v2_1!O96),0),"NA")</f>
        <v>1</v>
      </c>
    </row>
    <row r="97" spans="1:15" x14ac:dyDescent="0.25">
      <c r="A97" t="s">
        <v>92</v>
      </c>
      <c r="B97" t="s">
        <v>87</v>
      </c>
      <c r="C97">
        <v>0</v>
      </c>
      <c r="D97">
        <v>12.164171934127809</v>
      </c>
      <c r="E97">
        <f>ROUND(SUM(recreation_claude_v2_5!E97,recreation_claude_v2_4!E97,recreation_claude_v2_3!E97,recreation_claude_v2_2!E97,recreation_claude_v2_1!E97)/COUNT(recreation_claude_v2_5!E97,recreation_claude_v2_4!E97,recreation_claude_v2_3!E97,recreation_claude_v2_2!E97,recreation_claude_v2_1!E97),0)</f>
        <v>1</v>
      </c>
      <c r="F97">
        <f>IF($E97 = 1,ROUND(SUM(recreation_claude_v2_5!F97,recreation_claude_v2_4!F97,recreation_claude_v2_3!F97,recreation_claude_v2_2!F97,recreation_claude_v2_1!F97)/COUNT(recreation_claude_v2_5!F97,recreation_claude_v2_4!F97,recreation_claude_v2_3!F97,recreation_claude_v2_2!F97,recreation_claude_v2_1!F97),0),"NA")</f>
        <v>1</v>
      </c>
      <c r="G97">
        <f>IF($E97 = 1,ROUND(SUM(recreation_claude_v2_5!G97,recreation_claude_v2_4!G97,recreation_claude_v2_3!G97,recreation_claude_v2_2!G97,recreation_claude_v2_1!G97)/COUNT(recreation_claude_v2_5!G97,recreation_claude_v2_4!G97,recreation_claude_v2_3!G97,recreation_claude_v2_2!G97,recreation_claude_v2_1!G97),0),"NA")</f>
        <v>1</v>
      </c>
      <c r="H97">
        <f>IF($E97 = 1,ROUND(SUM(recreation_claude_v2_5!I97,recreation_claude_v2_4!I97,recreation_claude_v2_3!I97,recreation_claude_v2_2!I97,recreation_claude_v2_1!I97)/COUNT(recreation_claude_v2_5!I97,recreation_claude_v2_4!I97,recreation_claude_v2_3!I97,recreation_claude_v2_2!I97,recreation_claude_v2_1!I97),0),"NA")</f>
        <v>1</v>
      </c>
      <c r="I97">
        <f>IF($F97 = 1,ROUND(SUM(recreation_claude_v2_5!J97,recreation_claude_v2_4!J97,recreation_claude_v2_3!J97,recreation_claude_v2_2!J97,recreation_claude_v2_1!J97)/COUNT(recreation_claude_v2_5!J97,recreation_claude_v2_4!J97,recreation_claude_v2_3!J97,recreation_claude_v2_2!J97,recreation_claude_v2_1!J97),0),"NA")</f>
        <v>0</v>
      </c>
      <c r="J97">
        <f>IF($E97 = 1,ROUND(SUM(recreation_claude_v2_5!K97,recreation_claude_v2_4!K97,recreation_claude_v2_3!K97,recreation_claude_v2_2!K97,recreation_claude_v2_1!K97)/COUNT(recreation_claude_v2_5!K97,recreation_claude_v2_4!K97,recreation_claude_v2_3!K97,recreation_claude_v2_2!K97,recreation_claude_v2_1!K97),0),"NA")</f>
        <v>1</v>
      </c>
      <c r="K97">
        <f>IF(AND($F97 = 1, $G97 = 1),ROUND(SUM(recreation_claude_v2_5!L97,recreation_claude_v2_4!L97,recreation_claude_v2_3!L97,recreation_claude_v2_2!L97,recreation_claude_v2_1!L97)/COUNT(recreation_claude_v2_5!L97,recreation_claude_v2_4!L97,recreation_claude_v2_3!L97,recreation_claude_v2_2!L97,recreation_claude_v2_1!L97),0),"NA")</f>
        <v>1</v>
      </c>
      <c r="L97">
        <f>IF($E97 = 1,ROUND(SUM(recreation_claude_v2_5!L97,recreation_claude_v2_4!L97,recreation_claude_v2_3!L97,recreation_claude_v2_2!L97,recreation_claude_v2_1!L97)/COUNT(recreation_claude_v2_5!L97,recreation_claude_v2_4!L97,recreation_claude_v2_3!L97,recreation_claude_v2_2!L97,recreation_claude_v2_1!L97),0),"NA")</f>
        <v>1</v>
      </c>
      <c r="M97">
        <f>IF($E97 = 1,ROUND(SUM(recreation_claude_v2_5!M97,recreation_claude_v2_4!M97,recreation_claude_v2_3!M97,recreation_claude_v2_2!M97,recreation_claude_v2_1!M97)/COUNT(recreation_claude_v2_5!M97,recreation_claude_v2_4!M97,recreation_claude_v2_3!M97,recreation_claude_v2_2!M97,recreation_claude_v2_1!M97),0),"NA")</f>
        <v>1</v>
      </c>
      <c r="N97">
        <f>IF($E97 = 1,ROUND(SUM(recreation_claude_v2_5!N97,recreation_claude_v2_4!N97,recreation_claude_v2_3!N97,recreation_claude_v2_2!N97,recreation_claude_v2_1!N97)/COUNT(recreation_claude_v2_5!N97,recreation_claude_v2_4!N97,recreation_claude_v2_3!N97,recreation_claude_v2_2!N97,recreation_claude_v2_1!N97),0),"NA")</f>
        <v>1</v>
      </c>
      <c r="O97">
        <f>IF($E97 = 1,ROUND(SUM(recreation_claude_v2_5!O97,recreation_claude_v2_4!O97,recreation_claude_v2_3!O97,recreation_claude_v2_2!O97,recreation_claude_v2_1!O97)/COUNT(recreation_claude_v2_5!O97,recreation_claude_v2_4!O97,recreation_claude_v2_3!O97,recreation_claude_v2_2!O97,recreation_claude_v2_1!O97),0),"NA")</f>
        <v>1</v>
      </c>
    </row>
    <row r="98" spans="1:15" x14ac:dyDescent="0.25">
      <c r="A98" t="s">
        <v>92</v>
      </c>
      <c r="B98" t="s">
        <v>89</v>
      </c>
      <c r="C98">
        <v>0</v>
      </c>
      <c r="D98">
        <v>10.45696234703064</v>
      </c>
      <c r="E98">
        <f>ROUND(SUM(recreation_claude_v2_5!E98,recreation_claude_v2_4!E98,recreation_claude_v2_3!E98,recreation_claude_v2_2!E98,recreation_claude_v2_1!E98)/COUNT(recreation_claude_v2_5!E98,recreation_claude_v2_4!E98,recreation_claude_v2_3!E98,recreation_claude_v2_2!E98,recreation_claude_v2_1!E98),0)</f>
        <v>1</v>
      </c>
      <c r="F98">
        <f>IF($E98 = 1,ROUND(SUM(recreation_claude_v2_5!F98,recreation_claude_v2_4!F98,recreation_claude_v2_3!F98,recreation_claude_v2_2!F98,recreation_claude_v2_1!F98)/COUNT(recreation_claude_v2_5!F98,recreation_claude_v2_4!F98,recreation_claude_v2_3!F98,recreation_claude_v2_2!F98,recreation_claude_v2_1!F98),0),"NA")</f>
        <v>1</v>
      </c>
      <c r="G98">
        <f>IF($E98 = 1,ROUND(SUM(recreation_claude_v2_5!G98,recreation_claude_v2_4!G98,recreation_claude_v2_3!G98,recreation_claude_v2_2!G98,recreation_claude_v2_1!G98)/COUNT(recreation_claude_v2_5!G98,recreation_claude_v2_4!G98,recreation_claude_v2_3!G98,recreation_claude_v2_2!G98,recreation_claude_v2_1!G98),0),"NA")</f>
        <v>1</v>
      </c>
      <c r="H98">
        <f>IF($E98 = 1,ROUND(SUM(recreation_claude_v2_5!I98,recreation_claude_v2_4!I98,recreation_claude_v2_3!I98,recreation_claude_v2_2!I98,recreation_claude_v2_1!I98)/COUNT(recreation_claude_v2_5!I98,recreation_claude_v2_4!I98,recreation_claude_v2_3!I98,recreation_claude_v2_2!I98,recreation_claude_v2_1!I98),0),"NA")</f>
        <v>1</v>
      </c>
      <c r="I98">
        <f>IF($F98 = 1,ROUND(SUM(recreation_claude_v2_5!J98,recreation_claude_v2_4!J98,recreation_claude_v2_3!J98,recreation_claude_v2_2!J98,recreation_claude_v2_1!J98)/COUNT(recreation_claude_v2_5!J98,recreation_claude_v2_4!J98,recreation_claude_v2_3!J98,recreation_claude_v2_2!J98,recreation_claude_v2_1!J98),0),"NA")</f>
        <v>0</v>
      </c>
      <c r="J98">
        <f>IF($E98 = 1,ROUND(SUM(recreation_claude_v2_5!K98,recreation_claude_v2_4!K98,recreation_claude_v2_3!K98,recreation_claude_v2_2!K98,recreation_claude_v2_1!K98)/COUNT(recreation_claude_v2_5!K98,recreation_claude_v2_4!K98,recreation_claude_v2_3!K98,recreation_claude_v2_2!K98,recreation_claude_v2_1!K98),0),"NA")</f>
        <v>1</v>
      </c>
      <c r="K98">
        <f>IF(AND($F98 = 1, $G98 = 1),ROUND(SUM(recreation_claude_v2_5!L98,recreation_claude_v2_4!L98,recreation_claude_v2_3!L98,recreation_claude_v2_2!L98,recreation_claude_v2_1!L98)/COUNT(recreation_claude_v2_5!L98,recreation_claude_v2_4!L98,recreation_claude_v2_3!L98,recreation_claude_v2_2!L98,recreation_claude_v2_1!L98),0),"NA")</f>
        <v>1</v>
      </c>
      <c r="L98">
        <f>IF($E98 = 1,ROUND(SUM(recreation_claude_v2_5!L98,recreation_claude_v2_4!L98,recreation_claude_v2_3!L98,recreation_claude_v2_2!L98,recreation_claude_v2_1!L98)/COUNT(recreation_claude_v2_5!L98,recreation_claude_v2_4!L98,recreation_claude_v2_3!L98,recreation_claude_v2_2!L98,recreation_claude_v2_1!L98),0),"NA")</f>
        <v>1</v>
      </c>
      <c r="M98">
        <f>IF($E98 = 1,ROUND(SUM(recreation_claude_v2_5!M98,recreation_claude_v2_4!M98,recreation_claude_v2_3!M98,recreation_claude_v2_2!M98,recreation_claude_v2_1!M98)/COUNT(recreation_claude_v2_5!M98,recreation_claude_v2_4!M98,recreation_claude_v2_3!M98,recreation_claude_v2_2!M98,recreation_claude_v2_1!M98),0),"NA")</f>
        <v>1</v>
      </c>
      <c r="N98">
        <f>IF($E98 = 1,ROUND(SUM(recreation_claude_v2_5!N98,recreation_claude_v2_4!N98,recreation_claude_v2_3!N98,recreation_claude_v2_2!N98,recreation_claude_v2_1!N98)/COUNT(recreation_claude_v2_5!N98,recreation_claude_v2_4!N98,recreation_claude_v2_3!N98,recreation_claude_v2_2!N98,recreation_claude_v2_1!N98),0),"NA")</f>
        <v>1</v>
      </c>
      <c r="O98">
        <f>IF($E98 = 1,ROUND(SUM(recreation_claude_v2_5!O98,recreation_claude_v2_4!O98,recreation_claude_v2_3!O98,recreation_claude_v2_2!O98,recreation_claude_v2_1!O98)/COUNT(recreation_claude_v2_5!O98,recreation_claude_v2_4!O98,recreation_claude_v2_3!O98,recreation_claude_v2_2!O98,recreation_claude_v2_1!O98),0),"NA")</f>
        <v>1</v>
      </c>
    </row>
    <row r="99" spans="1:15" x14ac:dyDescent="0.25">
      <c r="A99" t="s">
        <v>92</v>
      </c>
      <c r="B99" t="s">
        <v>90</v>
      </c>
      <c r="C99">
        <v>0</v>
      </c>
      <c r="D99">
        <v>4.8831336498260498</v>
      </c>
      <c r="E99">
        <f>ROUND(SUM(recreation_claude_v2_5!E99,recreation_claude_v2_4!E99,recreation_claude_v2_3!E99,recreation_claude_v2_2!E99,recreation_claude_v2_1!E99)/COUNT(recreation_claude_v2_5!E99,recreation_claude_v2_4!E99,recreation_claude_v2_3!E99,recreation_claude_v2_2!E99,recreation_claude_v2_1!E99),0)</f>
        <v>1</v>
      </c>
      <c r="F99">
        <f>IF($E99 = 1,ROUND(SUM(recreation_claude_v2_5!F99,recreation_claude_v2_4!F99,recreation_claude_v2_3!F99,recreation_claude_v2_2!F99,recreation_claude_v2_1!F99)/COUNT(recreation_claude_v2_5!F99,recreation_claude_v2_4!F99,recreation_claude_v2_3!F99,recreation_claude_v2_2!F99,recreation_claude_v2_1!F99),0),"NA")</f>
        <v>1</v>
      </c>
      <c r="G99">
        <f>IF($E99 = 1,ROUND(SUM(recreation_claude_v2_5!G99,recreation_claude_v2_4!G99,recreation_claude_v2_3!G99,recreation_claude_v2_2!G99,recreation_claude_v2_1!G99)/COUNT(recreation_claude_v2_5!G99,recreation_claude_v2_4!G99,recreation_claude_v2_3!G99,recreation_claude_v2_2!G99,recreation_claude_v2_1!G99),0),"NA")</f>
        <v>1</v>
      </c>
      <c r="H99">
        <f>IF($E99 = 1,ROUND(SUM(recreation_claude_v2_5!I99,recreation_claude_v2_4!I99,recreation_claude_v2_3!I99,recreation_claude_v2_2!I99,recreation_claude_v2_1!I99)/COUNT(recreation_claude_v2_5!I99,recreation_claude_v2_4!I99,recreation_claude_v2_3!I99,recreation_claude_v2_2!I99,recreation_claude_v2_1!I99),0),"NA")</f>
        <v>1</v>
      </c>
      <c r="I99">
        <f>IF($F99 = 1,ROUND(SUM(recreation_claude_v2_5!J99,recreation_claude_v2_4!J99,recreation_claude_v2_3!J99,recreation_claude_v2_2!J99,recreation_claude_v2_1!J99)/COUNT(recreation_claude_v2_5!J99,recreation_claude_v2_4!J99,recreation_claude_v2_3!J99,recreation_claude_v2_2!J99,recreation_claude_v2_1!J99),0),"NA")</f>
        <v>0</v>
      </c>
      <c r="J99">
        <f>IF($E99 = 1,ROUND(SUM(recreation_claude_v2_5!K99,recreation_claude_v2_4!K99,recreation_claude_v2_3!K99,recreation_claude_v2_2!K99,recreation_claude_v2_1!K99)/COUNT(recreation_claude_v2_5!K99,recreation_claude_v2_4!K99,recreation_claude_v2_3!K99,recreation_claude_v2_2!K99,recreation_claude_v2_1!K99),0),"NA")</f>
        <v>1</v>
      </c>
      <c r="K99">
        <f>IF(AND($F99 = 1, $G99 = 1),ROUND(SUM(recreation_claude_v2_5!L99,recreation_claude_v2_4!L99,recreation_claude_v2_3!L99,recreation_claude_v2_2!L99,recreation_claude_v2_1!L99)/COUNT(recreation_claude_v2_5!L99,recreation_claude_v2_4!L99,recreation_claude_v2_3!L99,recreation_claude_v2_2!L99,recreation_claude_v2_1!L99),0),"NA")</f>
        <v>1</v>
      </c>
      <c r="L99">
        <f>IF($E99 = 1,ROUND(SUM(recreation_claude_v2_5!L99,recreation_claude_v2_4!L99,recreation_claude_v2_3!L99,recreation_claude_v2_2!L99,recreation_claude_v2_1!L99)/COUNT(recreation_claude_v2_5!L99,recreation_claude_v2_4!L99,recreation_claude_v2_3!L99,recreation_claude_v2_2!L99,recreation_claude_v2_1!L99),0),"NA")</f>
        <v>1</v>
      </c>
      <c r="M99">
        <f>IF($E99 = 1,ROUND(SUM(recreation_claude_v2_5!M99,recreation_claude_v2_4!M99,recreation_claude_v2_3!M99,recreation_claude_v2_2!M99,recreation_claude_v2_1!M99)/COUNT(recreation_claude_v2_5!M99,recreation_claude_v2_4!M99,recreation_claude_v2_3!M99,recreation_claude_v2_2!M99,recreation_claude_v2_1!M99),0),"NA")</f>
        <v>1</v>
      </c>
      <c r="N99">
        <f>IF($E99 = 1,ROUND(SUM(recreation_claude_v2_5!N99,recreation_claude_v2_4!N99,recreation_claude_v2_3!N99,recreation_claude_v2_2!N99,recreation_claude_v2_1!N99)/COUNT(recreation_claude_v2_5!N99,recreation_claude_v2_4!N99,recreation_claude_v2_3!N99,recreation_claude_v2_2!N99,recreation_claude_v2_1!N99),0),"NA")</f>
        <v>1</v>
      </c>
      <c r="O99">
        <f>IF($E99 = 1,ROUND(SUM(recreation_claude_v2_5!O99,recreation_claude_v2_4!O99,recreation_claude_v2_3!O99,recreation_claude_v2_2!O99,recreation_claude_v2_1!O99)/COUNT(recreation_claude_v2_5!O99,recreation_claude_v2_4!O99,recreation_claude_v2_3!O99,recreation_claude_v2_2!O99,recreation_claude_v2_1!O99),0),"NA")</f>
        <v>1</v>
      </c>
    </row>
    <row r="100" spans="1:15" x14ac:dyDescent="0.25">
      <c r="A100" t="s">
        <v>92</v>
      </c>
      <c r="B100" t="s">
        <v>115</v>
      </c>
      <c r="C100">
        <v>0</v>
      </c>
      <c r="D100">
        <v>8.2547366619110107</v>
      </c>
      <c r="E100">
        <f>ROUND(SUM(recreation_claude_v2_5!E100,recreation_claude_v2_4!E100,recreation_claude_v2_3!E100,recreation_claude_v2_2!E100,recreation_claude_v2_1!E100)/COUNT(recreation_claude_v2_5!E100,recreation_claude_v2_4!E100,recreation_claude_v2_3!E100,recreation_claude_v2_2!E100,recreation_claude_v2_1!E100),0)</f>
        <v>1</v>
      </c>
      <c r="F100">
        <f>IF($E100 = 1,ROUND(SUM(recreation_claude_v2_5!F100,recreation_claude_v2_4!F100,recreation_claude_v2_3!F100,recreation_claude_v2_2!F100,recreation_claude_v2_1!F100)/COUNT(recreation_claude_v2_5!F100,recreation_claude_v2_4!F100,recreation_claude_v2_3!F100,recreation_claude_v2_2!F100,recreation_claude_v2_1!F100),0),"NA")</f>
        <v>0</v>
      </c>
      <c r="G100">
        <f>IF($E100 = 1,ROUND(SUM(recreation_claude_v2_5!G100,recreation_claude_v2_4!G100,recreation_claude_v2_3!G100,recreation_claude_v2_2!G100,recreation_claude_v2_1!G100)/COUNT(recreation_claude_v2_5!G100,recreation_claude_v2_4!G100,recreation_claude_v2_3!G100,recreation_claude_v2_2!G100,recreation_claude_v2_1!G100),0),"NA")</f>
        <v>0</v>
      </c>
      <c r="H100">
        <f>IF($E100 = 1,ROUND(SUM(recreation_claude_v2_5!I100,recreation_claude_v2_4!I100,recreation_claude_v2_3!I100,recreation_claude_v2_2!I100,recreation_claude_v2_1!I100)/COUNT(recreation_claude_v2_5!I100,recreation_claude_v2_4!I100,recreation_claude_v2_3!I100,recreation_claude_v2_2!I100,recreation_claude_v2_1!I100),0),"NA")</f>
        <v>1</v>
      </c>
      <c r="I100" t="str">
        <f>IF($F100 = 1,ROUND(SUM(recreation_claude_v2_5!J100,recreation_claude_v2_4!J100,recreation_claude_v2_3!J100,recreation_claude_v2_2!J100,recreation_claude_v2_1!J100)/COUNT(recreation_claude_v2_5!J100,recreation_claude_v2_4!J100,recreation_claude_v2_3!J100,recreation_claude_v2_2!J100,recreation_claude_v2_1!J100),0),"NA")</f>
        <v>NA</v>
      </c>
      <c r="J100">
        <f>IF($E100 = 1,ROUND(SUM(recreation_claude_v2_5!K100,recreation_claude_v2_4!K100,recreation_claude_v2_3!K100,recreation_claude_v2_2!K100,recreation_claude_v2_1!K100)/COUNT(recreation_claude_v2_5!K100,recreation_claude_v2_4!K100,recreation_claude_v2_3!K100,recreation_claude_v2_2!K100,recreation_claude_v2_1!K100),0),"NA")</f>
        <v>1</v>
      </c>
      <c r="K100" t="str">
        <f>IF(AND($F100 = 1, $G100 = 1),ROUND(SUM(recreation_claude_v2_5!L100,recreation_claude_v2_4!L100,recreation_claude_v2_3!L100,recreation_claude_v2_2!L100,recreation_claude_v2_1!L100)/COUNT(recreation_claude_v2_5!L100,recreation_claude_v2_4!L100,recreation_claude_v2_3!L100,recreation_claude_v2_2!L100,recreation_claude_v2_1!L100),0),"NA")</f>
        <v>NA</v>
      </c>
      <c r="L100">
        <f>IF($E100 = 1,ROUND(SUM(recreation_claude_v2_5!L100,recreation_claude_v2_4!L100,recreation_claude_v2_3!L100,recreation_claude_v2_2!L100,recreation_claude_v2_1!L100)/COUNT(recreation_claude_v2_5!L100,recreation_claude_v2_4!L100,recreation_claude_v2_3!L100,recreation_claude_v2_2!L100,recreation_claude_v2_1!L100),0),"NA")</f>
        <v>1</v>
      </c>
      <c r="M100">
        <f>IF($E100 = 1,ROUND(SUM(recreation_claude_v2_5!M100,recreation_claude_v2_4!M100,recreation_claude_v2_3!M100,recreation_claude_v2_2!M100,recreation_claude_v2_1!M100)/COUNT(recreation_claude_v2_5!M100,recreation_claude_v2_4!M100,recreation_claude_v2_3!M100,recreation_claude_v2_2!M100,recreation_claude_v2_1!M100),0),"NA")</f>
        <v>1</v>
      </c>
      <c r="N100">
        <f>IF($E100 = 1,ROUND(SUM(recreation_claude_v2_5!N100,recreation_claude_v2_4!N100,recreation_claude_v2_3!N100,recreation_claude_v2_2!N100,recreation_claude_v2_1!N100)/COUNT(recreation_claude_v2_5!N100,recreation_claude_v2_4!N100,recreation_claude_v2_3!N100,recreation_claude_v2_2!N100,recreation_claude_v2_1!N100),0),"NA")</f>
        <v>1</v>
      </c>
      <c r="O100">
        <f>IF($E100 = 1,ROUND(SUM(recreation_claude_v2_5!O100,recreation_claude_v2_4!O100,recreation_claude_v2_3!O100,recreation_claude_v2_2!O100,recreation_claude_v2_1!O100)/COUNT(recreation_claude_v2_5!O100,recreation_claude_v2_4!O100,recreation_claude_v2_3!O100,recreation_claude_v2_2!O100,recreation_claude_v2_1!O100),0),"NA")</f>
        <v>1</v>
      </c>
    </row>
    <row r="101" spans="1:15" x14ac:dyDescent="0.25">
      <c r="A101" t="s">
        <v>92</v>
      </c>
      <c r="B101" t="s">
        <v>117</v>
      </c>
      <c r="C101">
        <v>0</v>
      </c>
      <c r="D101">
        <v>4.6806707382202148</v>
      </c>
      <c r="E101">
        <f>ROUND(SUM(recreation_claude_v2_5!E101,recreation_claude_v2_4!E101,recreation_claude_v2_3!E101,recreation_claude_v2_2!E101,recreation_claude_v2_1!E101)/COUNT(recreation_claude_v2_5!E101,recreation_claude_v2_4!E101,recreation_claude_v2_3!E101,recreation_claude_v2_2!E101,recreation_claude_v2_1!E101),0)</f>
        <v>1</v>
      </c>
      <c r="F101">
        <f>IF($E101 = 1,ROUND(SUM(recreation_claude_v2_5!F101,recreation_claude_v2_4!F101,recreation_claude_v2_3!F101,recreation_claude_v2_2!F101,recreation_claude_v2_1!F101)/COUNT(recreation_claude_v2_5!F101,recreation_claude_v2_4!F101,recreation_claude_v2_3!F101,recreation_claude_v2_2!F101,recreation_claude_v2_1!F101),0),"NA")</f>
        <v>1</v>
      </c>
      <c r="G101">
        <f>IF($E101 = 1,ROUND(SUM(recreation_claude_v2_5!G101,recreation_claude_v2_4!G101,recreation_claude_v2_3!G101,recreation_claude_v2_2!G101,recreation_claude_v2_1!G101)/COUNT(recreation_claude_v2_5!G101,recreation_claude_v2_4!G101,recreation_claude_v2_3!G101,recreation_claude_v2_2!G101,recreation_claude_v2_1!G101),0),"NA")</f>
        <v>1</v>
      </c>
      <c r="H101">
        <f>IF($E101 = 1,ROUND(SUM(recreation_claude_v2_5!I101,recreation_claude_v2_4!I101,recreation_claude_v2_3!I101,recreation_claude_v2_2!I101,recreation_claude_v2_1!I101)/COUNT(recreation_claude_v2_5!I101,recreation_claude_v2_4!I101,recreation_claude_v2_3!I101,recreation_claude_v2_2!I101,recreation_claude_v2_1!I101),0),"NA")</f>
        <v>1</v>
      </c>
      <c r="I101">
        <f>IF($F101 = 1,ROUND(SUM(recreation_claude_v2_5!J101,recreation_claude_v2_4!J101,recreation_claude_v2_3!J101,recreation_claude_v2_2!J101,recreation_claude_v2_1!J101)/COUNT(recreation_claude_v2_5!J101,recreation_claude_v2_4!J101,recreation_claude_v2_3!J101,recreation_claude_v2_2!J101,recreation_claude_v2_1!J101),0),"NA")</f>
        <v>0</v>
      </c>
      <c r="J101">
        <f>IF($E101 = 1,ROUND(SUM(recreation_claude_v2_5!K101,recreation_claude_v2_4!K101,recreation_claude_v2_3!K101,recreation_claude_v2_2!K101,recreation_claude_v2_1!K101)/COUNT(recreation_claude_v2_5!K101,recreation_claude_v2_4!K101,recreation_claude_v2_3!K101,recreation_claude_v2_2!K101,recreation_claude_v2_1!K101),0),"NA")</f>
        <v>1</v>
      </c>
      <c r="K101">
        <f>IF(AND($F101 = 1, $G101 = 1),ROUND(SUM(recreation_claude_v2_5!L101,recreation_claude_v2_4!L101,recreation_claude_v2_3!L101,recreation_claude_v2_2!L101,recreation_claude_v2_1!L101)/COUNT(recreation_claude_v2_5!L101,recreation_claude_v2_4!L101,recreation_claude_v2_3!L101,recreation_claude_v2_2!L101,recreation_claude_v2_1!L101),0),"NA")</f>
        <v>1</v>
      </c>
      <c r="L101">
        <f>IF($E101 = 1,ROUND(SUM(recreation_claude_v2_5!L101,recreation_claude_v2_4!L101,recreation_claude_v2_3!L101,recreation_claude_v2_2!L101,recreation_claude_v2_1!L101)/COUNT(recreation_claude_v2_5!L101,recreation_claude_v2_4!L101,recreation_claude_v2_3!L101,recreation_claude_v2_2!L101,recreation_claude_v2_1!L101),0),"NA")</f>
        <v>1</v>
      </c>
      <c r="M101">
        <f>IF($E101 = 1,ROUND(SUM(recreation_claude_v2_5!M101,recreation_claude_v2_4!M101,recreation_claude_v2_3!M101,recreation_claude_v2_2!M101,recreation_claude_v2_1!M101)/COUNT(recreation_claude_v2_5!M101,recreation_claude_v2_4!M101,recreation_claude_v2_3!M101,recreation_claude_v2_2!M101,recreation_claude_v2_1!M101),0),"NA")</f>
        <v>1</v>
      </c>
      <c r="N101">
        <f>IF($E101 = 1,ROUND(SUM(recreation_claude_v2_5!N101,recreation_claude_v2_4!N101,recreation_claude_v2_3!N101,recreation_claude_v2_2!N101,recreation_claude_v2_1!N101)/COUNT(recreation_claude_v2_5!N101,recreation_claude_v2_4!N101,recreation_claude_v2_3!N101,recreation_claude_v2_2!N101,recreation_claude_v2_1!N101),0),"NA")</f>
        <v>1</v>
      </c>
      <c r="O101">
        <f>IF($E101 = 1,ROUND(SUM(recreation_claude_v2_5!O101,recreation_claude_v2_4!O101,recreation_claude_v2_3!O101,recreation_claude_v2_2!O101,recreation_claude_v2_1!O101)/COUNT(recreation_claude_v2_5!O101,recreation_claude_v2_4!O101,recreation_claude_v2_3!O101,recreation_claude_v2_2!O101,recreation_claude_v2_1!O101),0),"NA")</f>
        <v>1</v>
      </c>
    </row>
    <row r="102" spans="1:15" x14ac:dyDescent="0.25">
      <c r="A102" t="s">
        <v>92</v>
      </c>
      <c r="B102" t="s">
        <v>119</v>
      </c>
      <c r="C102">
        <v>0</v>
      </c>
      <c r="D102">
        <v>10.59862351417542</v>
      </c>
      <c r="E102">
        <f>ROUND(SUM(recreation_claude_v2_5!E102,recreation_claude_v2_4!E102,recreation_claude_v2_3!E102,recreation_claude_v2_2!E102,recreation_claude_v2_1!E102)/COUNT(recreation_claude_v2_5!E102,recreation_claude_v2_4!E102,recreation_claude_v2_3!E102,recreation_claude_v2_2!E102,recreation_claude_v2_1!E102),0)</f>
        <v>1</v>
      </c>
      <c r="F102">
        <f>IF($E102 = 1,ROUND(SUM(recreation_claude_v2_5!F102,recreation_claude_v2_4!F102,recreation_claude_v2_3!F102,recreation_claude_v2_2!F102,recreation_claude_v2_1!F102)/COUNT(recreation_claude_v2_5!F102,recreation_claude_v2_4!F102,recreation_claude_v2_3!F102,recreation_claude_v2_2!F102,recreation_claude_v2_1!F102),0),"NA")</f>
        <v>1</v>
      </c>
      <c r="G102">
        <f>IF($E102 = 1,ROUND(SUM(recreation_claude_v2_5!G102,recreation_claude_v2_4!G102,recreation_claude_v2_3!G102,recreation_claude_v2_2!G102,recreation_claude_v2_1!G102)/COUNT(recreation_claude_v2_5!G102,recreation_claude_v2_4!G102,recreation_claude_v2_3!G102,recreation_claude_v2_2!G102,recreation_claude_v2_1!G102),0),"NA")</f>
        <v>1</v>
      </c>
      <c r="H102">
        <f>IF($E102 = 1,ROUND(SUM(recreation_claude_v2_5!I102,recreation_claude_v2_4!I102,recreation_claude_v2_3!I102,recreation_claude_v2_2!I102,recreation_claude_v2_1!I102)/COUNT(recreation_claude_v2_5!I102,recreation_claude_v2_4!I102,recreation_claude_v2_3!I102,recreation_claude_v2_2!I102,recreation_claude_v2_1!I102),0),"NA")</f>
        <v>1</v>
      </c>
      <c r="I102">
        <f>IF($F102 = 1,ROUND(SUM(recreation_claude_v2_5!J102,recreation_claude_v2_4!J102,recreation_claude_v2_3!J102,recreation_claude_v2_2!J102,recreation_claude_v2_1!J102)/COUNT(recreation_claude_v2_5!J102,recreation_claude_v2_4!J102,recreation_claude_v2_3!J102,recreation_claude_v2_2!J102,recreation_claude_v2_1!J102),0),"NA")</f>
        <v>0</v>
      </c>
      <c r="J102">
        <f>IF($E102 = 1,ROUND(SUM(recreation_claude_v2_5!K102,recreation_claude_v2_4!K102,recreation_claude_v2_3!K102,recreation_claude_v2_2!K102,recreation_claude_v2_1!K102)/COUNT(recreation_claude_v2_5!K102,recreation_claude_v2_4!K102,recreation_claude_v2_3!K102,recreation_claude_v2_2!K102,recreation_claude_v2_1!K102),0),"NA")</f>
        <v>1</v>
      </c>
      <c r="K102">
        <f>IF(AND($F102 = 1, $G102 = 1),ROUND(SUM(recreation_claude_v2_5!L102,recreation_claude_v2_4!L102,recreation_claude_v2_3!L102,recreation_claude_v2_2!L102,recreation_claude_v2_1!L102)/COUNT(recreation_claude_v2_5!L102,recreation_claude_v2_4!L102,recreation_claude_v2_3!L102,recreation_claude_v2_2!L102,recreation_claude_v2_1!L102),0),"NA")</f>
        <v>1</v>
      </c>
      <c r="L102">
        <f>IF($E102 = 1,ROUND(SUM(recreation_claude_v2_5!L102,recreation_claude_v2_4!L102,recreation_claude_v2_3!L102,recreation_claude_v2_2!L102,recreation_claude_v2_1!L102)/COUNT(recreation_claude_v2_5!L102,recreation_claude_v2_4!L102,recreation_claude_v2_3!L102,recreation_claude_v2_2!L102,recreation_claude_v2_1!L102),0),"NA")</f>
        <v>1</v>
      </c>
      <c r="M102">
        <f>IF($E102 = 1,ROUND(SUM(recreation_claude_v2_5!M102,recreation_claude_v2_4!M102,recreation_claude_v2_3!M102,recreation_claude_v2_2!M102,recreation_claude_v2_1!M102)/COUNT(recreation_claude_v2_5!M102,recreation_claude_v2_4!M102,recreation_claude_v2_3!M102,recreation_claude_v2_2!M102,recreation_claude_v2_1!M102),0),"NA")</f>
        <v>1</v>
      </c>
      <c r="N102">
        <f>IF($E102 = 1,ROUND(SUM(recreation_claude_v2_5!N102,recreation_claude_v2_4!N102,recreation_claude_v2_3!N102,recreation_claude_v2_2!N102,recreation_claude_v2_1!N102)/COUNT(recreation_claude_v2_5!N102,recreation_claude_v2_4!N102,recreation_claude_v2_3!N102,recreation_claude_v2_2!N102,recreation_claude_v2_1!N102),0),"NA")</f>
        <v>1</v>
      </c>
      <c r="O102">
        <f>IF($E102 = 1,ROUND(SUM(recreation_claude_v2_5!O102,recreation_claude_v2_4!O102,recreation_claude_v2_3!O102,recreation_claude_v2_2!O102,recreation_claude_v2_1!O102)/COUNT(recreation_claude_v2_5!O102,recreation_claude_v2_4!O102,recreation_claude_v2_3!O102,recreation_claude_v2_2!O102,recreation_claude_v2_1!O102),0),"NA")</f>
        <v>1</v>
      </c>
    </row>
    <row r="103" spans="1:15" x14ac:dyDescent="0.25">
      <c r="A103" t="s">
        <v>92</v>
      </c>
      <c r="B103" t="s">
        <v>121</v>
      </c>
      <c r="C103">
        <v>0</v>
      </c>
      <c r="D103">
        <v>11.24172258377075</v>
      </c>
      <c r="E103">
        <f>ROUND(SUM(recreation_claude_v2_5!E103,recreation_claude_v2_4!E103,recreation_claude_v2_3!E103,recreation_claude_v2_2!E103,recreation_claude_v2_1!E103)/COUNT(recreation_claude_v2_5!E103,recreation_claude_v2_4!E103,recreation_claude_v2_3!E103,recreation_claude_v2_2!E103,recreation_claude_v2_1!E103),0)</f>
        <v>1</v>
      </c>
      <c r="F103">
        <f>IF($E103 = 1,ROUND(SUM(recreation_claude_v2_5!F103,recreation_claude_v2_4!F103,recreation_claude_v2_3!F103,recreation_claude_v2_2!F103,recreation_claude_v2_1!F103)/COUNT(recreation_claude_v2_5!F103,recreation_claude_v2_4!F103,recreation_claude_v2_3!F103,recreation_claude_v2_2!F103,recreation_claude_v2_1!F103),0),"NA")</f>
        <v>1</v>
      </c>
      <c r="G103">
        <f>IF($E103 = 1,ROUND(SUM(recreation_claude_v2_5!G103,recreation_claude_v2_4!G103,recreation_claude_v2_3!G103,recreation_claude_v2_2!G103,recreation_claude_v2_1!G103)/COUNT(recreation_claude_v2_5!G103,recreation_claude_v2_4!G103,recreation_claude_v2_3!G103,recreation_claude_v2_2!G103,recreation_claude_v2_1!G103),0),"NA")</f>
        <v>1</v>
      </c>
      <c r="H103">
        <f>IF($E103 = 1,ROUND(SUM(recreation_claude_v2_5!I103,recreation_claude_v2_4!I103,recreation_claude_v2_3!I103,recreation_claude_v2_2!I103,recreation_claude_v2_1!I103)/COUNT(recreation_claude_v2_5!I103,recreation_claude_v2_4!I103,recreation_claude_v2_3!I103,recreation_claude_v2_2!I103,recreation_claude_v2_1!I103),0),"NA")</f>
        <v>1</v>
      </c>
      <c r="I103">
        <f>IF($F103 = 1,ROUND(SUM(recreation_claude_v2_5!J103,recreation_claude_v2_4!J103,recreation_claude_v2_3!J103,recreation_claude_v2_2!J103,recreation_claude_v2_1!J103)/COUNT(recreation_claude_v2_5!J103,recreation_claude_v2_4!J103,recreation_claude_v2_3!J103,recreation_claude_v2_2!J103,recreation_claude_v2_1!J103),0),"NA")</f>
        <v>0</v>
      </c>
      <c r="J103">
        <f>IF($E103 = 1,ROUND(SUM(recreation_claude_v2_5!K103,recreation_claude_v2_4!K103,recreation_claude_v2_3!K103,recreation_claude_v2_2!K103,recreation_claude_v2_1!K103)/COUNT(recreation_claude_v2_5!K103,recreation_claude_v2_4!K103,recreation_claude_v2_3!K103,recreation_claude_v2_2!K103,recreation_claude_v2_1!K103),0),"NA")</f>
        <v>1</v>
      </c>
      <c r="K103">
        <f>IF(AND($F103 = 1, $G103 = 1),ROUND(SUM(recreation_claude_v2_5!L103,recreation_claude_v2_4!L103,recreation_claude_v2_3!L103,recreation_claude_v2_2!L103,recreation_claude_v2_1!L103)/COUNT(recreation_claude_v2_5!L103,recreation_claude_v2_4!L103,recreation_claude_v2_3!L103,recreation_claude_v2_2!L103,recreation_claude_v2_1!L103),0),"NA")</f>
        <v>1</v>
      </c>
      <c r="L103">
        <f>IF($E103 = 1,ROUND(SUM(recreation_claude_v2_5!L103,recreation_claude_v2_4!L103,recreation_claude_v2_3!L103,recreation_claude_v2_2!L103,recreation_claude_v2_1!L103)/COUNT(recreation_claude_v2_5!L103,recreation_claude_v2_4!L103,recreation_claude_v2_3!L103,recreation_claude_v2_2!L103,recreation_claude_v2_1!L103),0),"NA")</f>
        <v>1</v>
      </c>
      <c r="M103">
        <f>IF($E103 = 1,ROUND(SUM(recreation_claude_v2_5!M103,recreation_claude_v2_4!M103,recreation_claude_v2_3!M103,recreation_claude_v2_2!M103,recreation_claude_v2_1!M103)/COUNT(recreation_claude_v2_5!M103,recreation_claude_v2_4!M103,recreation_claude_v2_3!M103,recreation_claude_v2_2!M103,recreation_claude_v2_1!M103),0),"NA")</f>
        <v>1</v>
      </c>
      <c r="N103">
        <f>IF($E103 = 1,ROUND(SUM(recreation_claude_v2_5!N103,recreation_claude_v2_4!N103,recreation_claude_v2_3!N103,recreation_claude_v2_2!N103,recreation_claude_v2_1!N103)/COUNT(recreation_claude_v2_5!N103,recreation_claude_v2_4!N103,recreation_claude_v2_3!N103,recreation_claude_v2_2!N103,recreation_claude_v2_1!N103),0),"NA")</f>
        <v>1</v>
      </c>
      <c r="O103">
        <f>IF($E103 = 1,ROUND(SUM(recreation_claude_v2_5!O103,recreation_claude_v2_4!O103,recreation_claude_v2_3!O103,recreation_claude_v2_2!O103,recreation_claude_v2_1!O103)/COUNT(recreation_claude_v2_5!O103,recreation_claude_v2_4!O103,recreation_claude_v2_3!O103,recreation_claude_v2_2!O103,recreation_claude_v2_1!O103),0),"NA")</f>
        <v>1</v>
      </c>
    </row>
    <row r="104" spans="1:15" x14ac:dyDescent="0.25">
      <c r="A104" t="s">
        <v>92</v>
      </c>
      <c r="B104" t="s">
        <v>122</v>
      </c>
      <c r="C104">
        <v>0</v>
      </c>
      <c r="D104">
        <v>4.3893659114837646</v>
      </c>
      <c r="E104">
        <f>ROUND(SUM(recreation_claude_v2_5!E104,recreation_claude_v2_4!E104,recreation_claude_v2_3!E104,recreation_claude_v2_2!E104,recreation_claude_v2_1!E104)/COUNT(recreation_claude_v2_5!E104,recreation_claude_v2_4!E104,recreation_claude_v2_3!E104,recreation_claude_v2_2!E104,recreation_claude_v2_1!E104),0)</f>
        <v>1</v>
      </c>
      <c r="F104">
        <f>IF($E104 = 1,ROUND(SUM(recreation_claude_v2_5!F104,recreation_claude_v2_4!F104,recreation_claude_v2_3!F104,recreation_claude_v2_2!F104,recreation_claude_v2_1!F104)/COUNT(recreation_claude_v2_5!F104,recreation_claude_v2_4!F104,recreation_claude_v2_3!F104,recreation_claude_v2_2!F104,recreation_claude_v2_1!F104),0),"NA")</f>
        <v>1</v>
      </c>
      <c r="G104">
        <f>IF($E104 = 1,ROUND(SUM(recreation_claude_v2_5!G104,recreation_claude_v2_4!G104,recreation_claude_v2_3!G104,recreation_claude_v2_2!G104,recreation_claude_v2_1!G104)/COUNT(recreation_claude_v2_5!G104,recreation_claude_v2_4!G104,recreation_claude_v2_3!G104,recreation_claude_v2_2!G104,recreation_claude_v2_1!G104),0),"NA")</f>
        <v>1</v>
      </c>
      <c r="H104">
        <f>IF($E104 = 1,ROUND(SUM(recreation_claude_v2_5!I104,recreation_claude_v2_4!I104,recreation_claude_v2_3!I104,recreation_claude_v2_2!I104,recreation_claude_v2_1!I104)/COUNT(recreation_claude_v2_5!I104,recreation_claude_v2_4!I104,recreation_claude_v2_3!I104,recreation_claude_v2_2!I104,recreation_claude_v2_1!I104),0),"NA")</f>
        <v>1</v>
      </c>
      <c r="I104">
        <f>IF($F104 = 1,ROUND(SUM(recreation_claude_v2_5!J104,recreation_claude_v2_4!J104,recreation_claude_v2_3!J104,recreation_claude_v2_2!J104,recreation_claude_v2_1!J104)/COUNT(recreation_claude_v2_5!J104,recreation_claude_v2_4!J104,recreation_claude_v2_3!J104,recreation_claude_v2_2!J104,recreation_claude_v2_1!J104),0),"NA")</f>
        <v>0</v>
      </c>
      <c r="J104">
        <f>IF($E104 = 1,ROUND(SUM(recreation_claude_v2_5!K104,recreation_claude_v2_4!K104,recreation_claude_v2_3!K104,recreation_claude_v2_2!K104,recreation_claude_v2_1!K104)/COUNT(recreation_claude_v2_5!K104,recreation_claude_v2_4!K104,recreation_claude_v2_3!K104,recreation_claude_v2_2!K104,recreation_claude_v2_1!K104),0),"NA")</f>
        <v>1</v>
      </c>
      <c r="K104">
        <f>IF(AND($F104 = 1, $G104 = 1),ROUND(SUM(recreation_claude_v2_5!L104,recreation_claude_v2_4!L104,recreation_claude_v2_3!L104,recreation_claude_v2_2!L104,recreation_claude_v2_1!L104)/COUNT(recreation_claude_v2_5!L104,recreation_claude_v2_4!L104,recreation_claude_v2_3!L104,recreation_claude_v2_2!L104,recreation_claude_v2_1!L104),0),"NA")</f>
        <v>1</v>
      </c>
      <c r="L104">
        <f>IF($E104 = 1,ROUND(SUM(recreation_claude_v2_5!L104,recreation_claude_v2_4!L104,recreation_claude_v2_3!L104,recreation_claude_v2_2!L104,recreation_claude_v2_1!L104)/COUNT(recreation_claude_v2_5!L104,recreation_claude_v2_4!L104,recreation_claude_v2_3!L104,recreation_claude_v2_2!L104,recreation_claude_v2_1!L104),0),"NA")</f>
        <v>1</v>
      </c>
      <c r="M104">
        <f>IF($E104 = 1,ROUND(SUM(recreation_claude_v2_5!M104,recreation_claude_v2_4!M104,recreation_claude_v2_3!M104,recreation_claude_v2_2!M104,recreation_claude_v2_1!M104)/COUNT(recreation_claude_v2_5!M104,recreation_claude_v2_4!M104,recreation_claude_v2_3!M104,recreation_claude_v2_2!M104,recreation_claude_v2_1!M104),0),"NA")</f>
        <v>1</v>
      </c>
      <c r="N104">
        <f>IF($E104 = 1,ROUND(SUM(recreation_claude_v2_5!N104,recreation_claude_v2_4!N104,recreation_claude_v2_3!N104,recreation_claude_v2_2!N104,recreation_claude_v2_1!N104)/COUNT(recreation_claude_v2_5!N104,recreation_claude_v2_4!N104,recreation_claude_v2_3!N104,recreation_claude_v2_2!N104,recreation_claude_v2_1!N104),0),"NA")</f>
        <v>1</v>
      </c>
      <c r="O104">
        <f>IF($E104 = 1,ROUND(SUM(recreation_claude_v2_5!O104,recreation_claude_v2_4!O104,recreation_claude_v2_3!O104,recreation_claude_v2_2!O104,recreation_claude_v2_1!O104)/COUNT(recreation_claude_v2_5!O104,recreation_claude_v2_4!O104,recreation_claude_v2_3!O104,recreation_claude_v2_2!O104,recreation_claude_v2_1!O104),0),"NA")</f>
        <v>1</v>
      </c>
    </row>
    <row r="105" spans="1:15" x14ac:dyDescent="0.25">
      <c r="A105" t="s">
        <v>92</v>
      </c>
      <c r="B105" t="s">
        <v>124</v>
      </c>
      <c r="C105">
        <v>0</v>
      </c>
      <c r="D105">
        <v>4.5508575439453116</v>
      </c>
      <c r="E105">
        <f>ROUND(SUM(recreation_claude_v2_5!E105,recreation_claude_v2_4!E105,recreation_claude_v2_3!E105,recreation_claude_v2_2!E105,recreation_claude_v2_1!E105)/COUNT(recreation_claude_v2_5!E105,recreation_claude_v2_4!E105,recreation_claude_v2_3!E105,recreation_claude_v2_2!E105,recreation_claude_v2_1!E105),0)</f>
        <v>1</v>
      </c>
      <c r="F105">
        <f>IF($E105 = 1,ROUND(SUM(recreation_claude_v2_5!F105,recreation_claude_v2_4!F105,recreation_claude_v2_3!F105,recreation_claude_v2_2!F105,recreation_claude_v2_1!F105)/COUNT(recreation_claude_v2_5!F105,recreation_claude_v2_4!F105,recreation_claude_v2_3!F105,recreation_claude_v2_2!F105,recreation_claude_v2_1!F105),0),"NA")</f>
        <v>1</v>
      </c>
      <c r="G105">
        <f>IF($E105 = 1,ROUND(SUM(recreation_claude_v2_5!G105,recreation_claude_v2_4!G105,recreation_claude_v2_3!G105,recreation_claude_v2_2!G105,recreation_claude_v2_1!G105)/COUNT(recreation_claude_v2_5!G105,recreation_claude_v2_4!G105,recreation_claude_v2_3!G105,recreation_claude_v2_2!G105,recreation_claude_v2_1!G105),0),"NA")</f>
        <v>1</v>
      </c>
      <c r="H105">
        <f>IF($E105 = 1,ROUND(SUM(recreation_claude_v2_5!I105,recreation_claude_v2_4!I105,recreation_claude_v2_3!I105,recreation_claude_v2_2!I105,recreation_claude_v2_1!I105)/COUNT(recreation_claude_v2_5!I105,recreation_claude_v2_4!I105,recreation_claude_v2_3!I105,recreation_claude_v2_2!I105,recreation_claude_v2_1!I105),0),"NA")</f>
        <v>1</v>
      </c>
      <c r="I105">
        <f>IF($F105 = 1,ROUND(SUM(recreation_claude_v2_5!J105,recreation_claude_v2_4!J105,recreation_claude_v2_3!J105,recreation_claude_v2_2!J105,recreation_claude_v2_1!J105)/COUNT(recreation_claude_v2_5!J105,recreation_claude_v2_4!J105,recreation_claude_v2_3!J105,recreation_claude_v2_2!J105,recreation_claude_v2_1!J105),0),"NA")</f>
        <v>0</v>
      </c>
      <c r="J105">
        <f>IF($E105 = 1,ROUND(SUM(recreation_claude_v2_5!K105,recreation_claude_v2_4!K105,recreation_claude_v2_3!K105,recreation_claude_v2_2!K105,recreation_claude_v2_1!K105)/COUNT(recreation_claude_v2_5!K105,recreation_claude_v2_4!K105,recreation_claude_v2_3!K105,recreation_claude_v2_2!K105,recreation_claude_v2_1!K105),0),"NA")</f>
        <v>1</v>
      </c>
      <c r="K105">
        <f>IF(AND($F105 = 1, $G105 = 1),ROUND(SUM(recreation_claude_v2_5!L105,recreation_claude_v2_4!L105,recreation_claude_v2_3!L105,recreation_claude_v2_2!L105,recreation_claude_v2_1!L105)/COUNT(recreation_claude_v2_5!L105,recreation_claude_v2_4!L105,recreation_claude_v2_3!L105,recreation_claude_v2_2!L105,recreation_claude_v2_1!L105),0),"NA")</f>
        <v>1</v>
      </c>
      <c r="L105">
        <f>IF($E105 = 1,ROUND(SUM(recreation_claude_v2_5!L105,recreation_claude_v2_4!L105,recreation_claude_v2_3!L105,recreation_claude_v2_2!L105,recreation_claude_v2_1!L105)/COUNT(recreation_claude_v2_5!L105,recreation_claude_v2_4!L105,recreation_claude_v2_3!L105,recreation_claude_v2_2!L105,recreation_claude_v2_1!L105),0),"NA")</f>
        <v>1</v>
      </c>
      <c r="M105">
        <f>IF($E105 = 1,ROUND(SUM(recreation_claude_v2_5!M105,recreation_claude_v2_4!M105,recreation_claude_v2_3!M105,recreation_claude_v2_2!M105,recreation_claude_v2_1!M105)/COUNT(recreation_claude_v2_5!M105,recreation_claude_v2_4!M105,recreation_claude_v2_3!M105,recreation_claude_v2_2!M105,recreation_claude_v2_1!M105),0),"NA")</f>
        <v>1</v>
      </c>
      <c r="N105">
        <f>IF($E105 = 1,ROUND(SUM(recreation_claude_v2_5!N105,recreation_claude_v2_4!N105,recreation_claude_v2_3!N105,recreation_claude_v2_2!N105,recreation_claude_v2_1!N105)/COUNT(recreation_claude_v2_5!N105,recreation_claude_v2_4!N105,recreation_claude_v2_3!N105,recreation_claude_v2_2!N105,recreation_claude_v2_1!N105),0),"NA")</f>
        <v>1</v>
      </c>
      <c r="O105">
        <f>IF($E105 = 1,ROUND(SUM(recreation_claude_v2_5!O105,recreation_claude_v2_4!O105,recreation_claude_v2_3!O105,recreation_claude_v2_2!O105,recreation_claude_v2_1!O105)/COUNT(recreation_claude_v2_5!O105,recreation_claude_v2_4!O105,recreation_claude_v2_3!O105,recreation_claude_v2_2!O105,recreation_claude_v2_1!O105),0),"NA")</f>
        <v>1</v>
      </c>
    </row>
    <row r="106" spans="1:15" x14ac:dyDescent="0.25">
      <c r="A106" t="s">
        <v>92</v>
      </c>
      <c r="B106" t="s">
        <v>126</v>
      </c>
      <c r="C106">
        <v>0</v>
      </c>
      <c r="D106">
        <v>12.009115695953369</v>
      </c>
      <c r="E106">
        <f>ROUND(SUM(recreation_claude_v2_5!E106,recreation_claude_v2_4!E106,recreation_claude_v2_3!E106,recreation_claude_v2_2!E106,recreation_claude_v2_1!E106)/COUNT(recreation_claude_v2_5!E106,recreation_claude_v2_4!E106,recreation_claude_v2_3!E106,recreation_claude_v2_2!E106,recreation_claude_v2_1!E106),0)</f>
        <v>1</v>
      </c>
      <c r="F106">
        <f>IF($E106 = 1,ROUND(SUM(recreation_claude_v2_5!F106,recreation_claude_v2_4!F106,recreation_claude_v2_3!F106,recreation_claude_v2_2!F106,recreation_claude_v2_1!F106)/COUNT(recreation_claude_v2_5!F106,recreation_claude_v2_4!F106,recreation_claude_v2_3!F106,recreation_claude_v2_2!F106,recreation_claude_v2_1!F106),0),"NA")</f>
        <v>1</v>
      </c>
      <c r="G106">
        <f>IF($E106 = 1,ROUND(SUM(recreation_claude_v2_5!G106,recreation_claude_v2_4!G106,recreation_claude_v2_3!G106,recreation_claude_v2_2!G106,recreation_claude_v2_1!G106)/COUNT(recreation_claude_v2_5!G106,recreation_claude_v2_4!G106,recreation_claude_v2_3!G106,recreation_claude_v2_2!G106,recreation_claude_v2_1!G106),0),"NA")</f>
        <v>1</v>
      </c>
      <c r="H106">
        <f>IF($E106 = 1,ROUND(SUM(recreation_claude_v2_5!I106,recreation_claude_v2_4!I106,recreation_claude_v2_3!I106,recreation_claude_v2_2!I106,recreation_claude_v2_1!I106)/COUNT(recreation_claude_v2_5!I106,recreation_claude_v2_4!I106,recreation_claude_v2_3!I106,recreation_claude_v2_2!I106,recreation_claude_v2_1!I106),0),"NA")</f>
        <v>1</v>
      </c>
      <c r="I106">
        <f>IF($F106 = 1,ROUND(SUM(recreation_claude_v2_5!J106,recreation_claude_v2_4!J106,recreation_claude_v2_3!J106,recreation_claude_v2_2!J106,recreation_claude_v2_1!J106)/COUNT(recreation_claude_v2_5!J106,recreation_claude_v2_4!J106,recreation_claude_v2_3!J106,recreation_claude_v2_2!J106,recreation_claude_v2_1!J106),0),"NA")</f>
        <v>1</v>
      </c>
      <c r="J106">
        <f>IF($E106 = 1,ROUND(SUM(recreation_claude_v2_5!K106,recreation_claude_v2_4!K106,recreation_claude_v2_3!K106,recreation_claude_v2_2!K106,recreation_claude_v2_1!K106)/COUNT(recreation_claude_v2_5!K106,recreation_claude_v2_4!K106,recreation_claude_v2_3!K106,recreation_claude_v2_2!K106,recreation_claude_v2_1!K106),0),"NA")</f>
        <v>0</v>
      </c>
      <c r="K106">
        <f>IF(AND($F106 = 1, $G106 = 1),ROUND(SUM(recreation_claude_v2_5!L106,recreation_claude_v2_4!L106,recreation_claude_v2_3!L106,recreation_claude_v2_2!L106,recreation_claude_v2_1!L106)/COUNT(recreation_claude_v2_5!L106,recreation_claude_v2_4!L106,recreation_claude_v2_3!L106,recreation_claude_v2_2!L106,recreation_claude_v2_1!L106),0),"NA")</f>
        <v>0</v>
      </c>
      <c r="L106">
        <f>IF($E106 = 1,ROUND(SUM(recreation_claude_v2_5!L106,recreation_claude_v2_4!L106,recreation_claude_v2_3!L106,recreation_claude_v2_2!L106,recreation_claude_v2_1!L106)/COUNT(recreation_claude_v2_5!L106,recreation_claude_v2_4!L106,recreation_claude_v2_3!L106,recreation_claude_v2_2!L106,recreation_claude_v2_1!L106),0),"NA")</f>
        <v>0</v>
      </c>
      <c r="M106">
        <f>IF($E106 = 1,ROUND(SUM(recreation_claude_v2_5!M106,recreation_claude_v2_4!M106,recreation_claude_v2_3!M106,recreation_claude_v2_2!M106,recreation_claude_v2_1!M106)/COUNT(recreation_claude_v2_5!M106,recreation_claude_v2_4!M106,recreation_claude_v2_3!M106,recreation_claude_v2_2!M106,recreation_claude_v2_1!M106),0),"NA")</f>
        <v>1</v>
      </c>
      <c r="N106">
        <f>IF($E106 = 1,ROUND(SUM(recreation_claude_v2_5!N106,recreation_claude_v2_4!N106,recreation_claude_v2_3!N106,recreation_claude_v2_2!N106,recreation_claude_v2_1!N106)/COUNT(recreation_claude_v2_5!N106,recreation_claude_v2_4!N106,recreation_claude_v2_3!N106,recreation_claude_v2_2!N106,recreation_claude_v2_1!N106),0),"NA")</f>
        <v>1</v>
      </c>
      <c r="O106">
        <f>IF($E106 = 1,ROUND(SUM(recreation_claude_v2_5!O106,recreation_claude_v2_4!O106,recreation_claude_v2_3!O106,recreation_claude_v2_2!O106,recreation_claude_v2_1!O106)/COUNT(recreation_claude_v2_5!O106,recreation_claude_v2_4!O106,recreation_claude_v2_3!O106,recreation_claude_v2_2!O106,recreation_claude_v2_1!O106),0),"NA")</f>
        <v>1</v>
      </c>
    </row>
    <row r="107" spans="1:15" x14ac:dyDescent="0.25">
      <c r="A107" t="s">
        <v>92</v>
      </c>
      <c r="B107" t="s">
        <v>128</v>
      </c>
      <c r="C107">
        <v>0</v>
      </c>
      <c r="D107">
        <v>12.79688787460327</v>
      </c>
      <c r="E107">
        <f>ROUND(SUM(recreation_claude_v2_5!E107,recreation_claude_v2_4!E107,recreation_claude_v2_3!E107,recreation_claude_v2_2!E107,recreation_claude_v2_1!E107)/COUNT(recreation_claude_v2_5!E107,recreation_claude_v2_4!E107,recreation_claude_v2_3!E107,recreation_claude_v2_2!E107,recreation_claude_v2_1!E107),0)</f>
        <v>0</v>
      </c>
      <c r="F107" t="str">
        <f>IF($E107 = 1,ROUND(SUM(recreation_claude_v2_5!F107,recreation_claude_v2_4!F107,recreation_claude_v2_3!F107,recreation_claude_v2_2!F107,recreation_claude_v2_1!F107)/COUNT(recreation_claude_v2_5!F107,recreation_claude_v2_4!F107,recreation_claude_v2_3!F107,recreation_claude_v2_2!F107,recreation_claude_v2_1!F107),0),"NA")</f>
        <v>NA</v>
      </c>
      <c r="G107" t="str">
        <f>IF($E107 = 1,ROUND(SUM(recreation_claude_v2_5!G107,recreation_claude_v2_4!G107,recreation_claude_v2_3!G107,recreation_claude_v2_2!G107,recreation_claude_v2_1!G107)/COUNT(recreation_claude_v2_5!G107,recreation_claude_v2_4!G107,recreation_claude_v2_3!G107,recreation_claude_v2_2!G107,recreation_claude_v2_1!G107),0),"NA")</f>
        <v>NA</v>
      </c>
      <c r="H107" t="str">
        <f>IF($E107 = 1,ROUND(SUM(recreation_claude_v2_5!I107,recreation_claude_v2_4!I107,recreation_claude_v2_3!I107,recreation_claude_v2_2!I107,recreation_claude_v2_1!I107)/COUNT(recreation_claude_v2_5!I107,recreation_claude_v2_4!I107,recreation_claude_v2_3!I107,recreation_claude_v2_2!I107,recreation_claude_v2_1!I107),0),"NA")</f>
        <v>NA</v>
      </c>
      <c r="I107" t="str">
        <f>IF($F107 = 1,ROUND(SUM(recreation_claude_v2_5!J107,recreation_claude_v2_4!J107,recreation_claude_v2_3!J107,recreation_claude_v2_2!J107,recreation_claude_v2_1!J107)/COUNT(recreation_claude_v2_5!J107,recreation_claude_v2_4!J107,recreation_claude_v2_3!J107,recreation_claude_v2_2!J107,recreation_claude_v2_1!J107),0),"NA")</f>
        <v>NA</v>
      </c>
      <c r="J107" t="str">
        <f>IF($E107 = 1,ROUND(SUM(recreation_claude_v2_5!K107,recreation_claude_v2_4!K107,recreation_claude_v2_3!K107,recreation_claude_v2_2!K107,recreation_claude_v2_1!K107)/COUNT(recreation_claude_v2_5!K107,recreation_claude_v2_4!K107,recreation_claude_v2_3!K107,recreation_claude_v2_2!K107,recreation_claude_v2_1!K107),0),"NA")</f>
        <v>NA</v>
      </c>
      <c r="K107" t="str">
        <f>IF(AND($F107 = 1, $G107 = 1),ROUND(SUM(recreation_claude_v2_5!L107,recreation_claude_v2_4!L107,recreation_claude_v2_3!L107,recreation_claude_v2_2!L107,recreation_claude_v2_1!L107)/COUNT(recreation_claude_v2_5!L107,recreation_claude_v2_4!L107,recreation_claude_v2_3!L107,recreation_claude_v2_2!L107,recreation_claude_v2_1!L107),0),"NA")</f>
        <v>NA</v>
      </c>
      <c r="L107" t="str">
        <f>IF($E107 = 1,ROUND(SUM(recreation_claude_v2_5!L107,recreation_claude_v2_4!L107,recreation_claude_v2_3!L107,recreation_claude_v2_2!L107,recreation_claude_v2_1!L107)/COUNT(recreation_claude_v2_5!L107,recreation_claude_v2_4!L107,recreation_claude_v2_3!L107,recreation_claude_v2_2!L107,recreation_claude_v2_1!L107),0),"NA")</f>
        <v>NA</v>
      </c>
      <c r="M107" t="str">
        <f>IF($E107 = 1,ROUND(SUM(recreation_claude_v2_5!M107,recreation_claude_v2_4!M107,recreation_claude_v2_3!M107,recreation_claude_v2_2!M107,recreation_claude_v2_1!M107)/COUNT(recreation_claude_v2_5!M107,recreation_claude_v2_4!M107,recreation_claude_v2_3!M107,recreation_claude_v2_2!M107,recreation_claude_v2_1!M107),0),"NA")</f>
        <v>NA</v>
      </c>
      <c r="N107" t="str">
        <f>IF($E107 = 1,ROUND(SUM(recreation_claude_v2_5!N107,recreation_claude_v2_4!N107,recreation_claude_v2_3!N107,recreation_claude_v2_2!N107,recreation_claude_v2_1!N107)/COUNT(recreation_claude_v2_5!N107,recreation_claude_v2_4!N107,recreation_claude_v2_3!N107,recreation_claude_v2_2!N107,recreation_claude_v2_1!N107),0),"NA")</f>
        <v>NA</v>
      </c>
      <c r="O107" t="str">
        <f>IF($E107 = 1,ROUND(SUM(recreation_claude_v2_5!O107,recreation_claude_v2_4!O107,recreation_claude_v2_3!O107,recreation_claude_v2_2!O107,recreation_claude_v2_1!O107)/COUNT(recreation_claude_v2_5!O107,recreation_claude_v2_4!O107,recreation_claude_v2_3!O107,recreation_claude_v2_2!O107,recreation_claude_v2_1!O107),0),"NA")</f>
        <v>NA</v>
      </c>
    </row>
    <row r="108" spans="1:15" x14ac:dyDescent="0.25">
      <c r="A108" t="s">
        <v>92</v>
      </c>
      <c r="B108" t="s">
        <v>130</v>
      </c>
      <c r="C108">
        <v>0</v>
      </c>
      <c r="D108">
        <v>12.98440909385681</v>
      </c>
      <c r="E108">
        <f>ROUND(SUM(recreation_claude_v2_5!E108,recreation_claude_v2_4!E108,recreation_claude_v2_3!E108,recreation_claude_v2_2!E108,recreation_claude_v2_1!E108)/COUNT(recreation_claude_v2_5!E108,recreation_claude_v2_4!E108,recreation_claude_v2_3!E108,recreation_claude_v2_2!E108,recreation_claude_v2_1!E108),0)</f>
        <v>1</v>
      </c>
      <c r="F108">
        <f>IF($E108 = 1,ROUND(SUM(recreation_claude_v2_5!F108,recreation_claude_v2_4!F108,recreation_claude_v2_3!F108,recreation_claude_v2_2!F108,recreation_claude_v2_1!F108)/COUNT(recreation_claude_v2_5!F108,recreation_claude_v2_4!F108,recreation_claude_v2_3!F108,recreation_claude_v2_2!F108,recreation_claude_v2_1!F108),0),"NA")</f>
        <v>1</v>
      </c>
      <c r="G108">
        <f>IF($E108 = 1,ROUND(SUM(recreation_claude_v2_5!G108,recreation_claude_v2_4!G108,recreation_claude_v2_3!G108,recreation_claude_v2_2!G108,recreation_claude_v2_1!G108)/COUNT(recreation_claude_v2_5!G108,recreation_claude_v2_4!G108,recreation_claude_v2_3!G108,recreation_claude_v2_2!G108,recreation_claude_v2_1!G108),0),"NA")</f>
        <v>1</v>
      </c>
      <c r="H108">
        <f>IF($E108 = 1,ROUND(SUM(recreation_claude_v2_5!I108,recreation_claude_v2_4!I108,recreation_claude_v2_3!I108,recreation_claude_v2_2!I108,recreation_claude_v2_1!I108)/COUNT(recreation_claude_v2_5!I108,recreation_claude_v2_4!I108,recreation_claude_v2_3!I108,recreation_claude_v2_2!I108,recreation_claude_v2_1!I108),0),"NA")</f>
        <v>1</v>
      </c>
      <c r="I108">
        <f>IF($F108 = 1,ROUND(SUM(recreation_claude_v2_5!J108,recreation_claude_v2_4!J108,recreation_claude_v2_3!J108,recreation_claude_v2_2!J108,recreation_claude_v2_1!J108)/COUNT(recreation_claude_v2_5!J108,recreation_claude_v2_4!J108,recreation_claude_v2_3!J108,recreation_claude_v2_2!J108,recreation_claude_v2_1!J108),0),"NA")</f>
        <v>0</v>
      </c>
      <c r="J108">
        <f>IF($E108 = 1,ROUND(SUM(recreation_claude_v2_5!K108,recreation_claude_v2_4!K108,recreation_claude_v2_3!K108,recreation_claude_v2_2!K108,recreation_claude_v2_1!K108)/COUNT(recreation_claude_v2_5!K108,recreation_claude_v2_4!K108,recreation_claude_v2_3!K108,recreation_claude_v2_2!K108,recreation_claude_v2_1!K108),0),"NA")</f>
        <v>1</v>
      </c>
      <c r="K108">
        <f>IF(AND($F108 = 1, $G108 = 1),ROUND(SUM(recreation_claude_v2_5!L108,recreation_claude_v2_4!L108,recreation_claude_v2_3!L108,recreation_claude_v2_2!L108,recreation_claude_v2_1!L108)/COUNT(recreation_claude_v2_5!L108,recreation_claude_v2_4!L108,recreation_claude_v2_3!L108,recreation_claude_v2_2!L108,recreation_claude_v2_1!L108),0),"NA")</f>
        <v>1</v>
      </c>
      <c r="L108">
        <f>IF($E108 = 1,ROUND(SUM(recreation_claude_v2_5!L108,recreation_claude_v2_4!L108,recreation_claude_v2_3!L108,recreation_claude_v2_2!L108,recreation_claude_v2_1!L108)/COUNT(recreation_claude_v2_5!L108,recreation_claude_v2_4!L108,recreation_claude_v2_3!L108,recreation_claude_v2_2!L108,recreation_claude_v2_1!L108),0),"NA")</f>
        <v>1</v>
      </c>
      <c r="M108">
        <f>IF($E108 = 1,ROUND(SUM(recreation_claude_v2_5!M108,recreation_claude_v2_4!M108,recreation_claude_v2_3!M108,recreation_claude_v2_2!M108,recreation_claude_v2_1!M108)/COUNT(recreation_claude_v2_5!M108,recreation_claude_v2_4!M108,recreation_claude_v2_3!M108,recreation_claude_v2_2!M108,recreation_claude_v2_1!M108),0),"NA")</f>
        <v>1</v>
      </c>
      <c r="N108">
        <f>IF($E108 = 1,ROUND(SUM(recreation_claude_v2_5!N108,recreation_claude_v2_4!N108,recreation_claude_v2_3!N108,recreation_claude_v2_2!N108,recreation_claude_v2_1!N108)/COUNT(recreation_claude_v2_5!N108,recreation_claude_v2_4!N108,recreation_claude_v2_3!N108,recreation_claude_v2_2!N108,recreation_claude_v2_1!N108),0),"NA")</f>
        <v>1</v>
      </c>
      <c r="O108">
        <f>IF($E108 = 1,ROUND(SUM(recreation_claude_v2_5!O108,recreation_claude_v2_4!O108,recreation_claude_v2_3!O108,recreation_claude_v2_2!O108,recreation_claude_v2_1!O108)/COUNT(recreation_claude_v2_5!O108,recreation_claude_v2_4!O108,recreation_claude_v2_3!O108,recreation_claude_v2_2!O108,recreation_claude_v2_1!O108),0),"NA")</f>
        <v>1</v>
      </c>
    </row>
    <row r="109" spans="1:15" x14ac:dyDescent="0.25">
      <c r="A109" t="s">
        <v>92</v>
      </c>
      <c r="B109" t="s">
        <v>131</v>
      </c>
      <c r="C109">
        <v>0</v>
      </c>
      <c r="D109">
        <v>4.3948986530303964</v>
      </c>
      <c r="E109">
        <f>ROUND(SUM(recreation_claude_v2_5!E109,recreation_claude_v2_4!E109,recreation_claude_v2_3!E109,recreation_claude_v2_2!E109,recreation_claude_v2_1!E109)/COUNT(recreation_claude_v2_5!E109,recreation_claude_v2_4!E109,recreation_claude_v2_3!E109,recreation_claude_v2_2!E109,recreation_claude_v2_1!E109),0)</f>
        <v>1</v>
      </c>
      <c r="F109">
        <f>IF($E109 = 1,ROUND(SUM(recreation_claude_v2_5!F109,recreation_claude_v2_4!F109,recreation_claude_v2_3!F109,recreation_claude_v2_2!F109,recreation_claude_v2_1!F109)/COUNT(recreation_claude_v2_5!F109,recreation_claude_v2_4!F109,recreation_claude_v2_3!F109,recreation_claude_v2_2!F109,recreation_claude_v2_1!F109),0),"NA")</f>
        <v>1</v>
      </c>
      <c r="G109">
        <f>IF($E109 = 1,ROUND(SUM(recreation_claude_v2_5!G109,recreation_claude_v2_4!G109,recreation_claude_v2_3!G109,recreation_claude_v2_2!G109,recreation_claude_v2_1!G109)/COUNT(recreation_claude_v2_5!G109,recreation_claude_v2_4!G109,recreation_claude_v2_3!G109,recreation_claude_v2_2!G109,recreation_claude_v2_1!G109),0),"NA")</f>
        <v>1</v>
      </c>
      <c r="H109">
        <f>IF($E109 = 1,ROUND(SUM(recreation_claude_v2_5!I109,recreation_claude_v2_4!I109,recreation_claude_v2_3!I109,recreation_claude_v2_2!I109,recreation_claude_v2_1!I109)/COUNT(recreation_claude_v2_5!I109,recreation_claude_v2_4!I109,recreation_claude_v2_3!I109,recreation_claude_v2_2!I109,recreation_claude_v2_1!I109),0),"NA")</f>
        <v>1</v>
      </c>
      <c r="I109">
        <f>IF($F109 = 1,ROUND(SUM(recreation_claude_v2_5!J109,recreation_claude_v2_4!J109,recreation_claude_v2_3!J109,recreation_claude_v2_2!J109,recreation_claude_v2_1!J109)/COUNT(recreation_claude_v2_5!J109,recreation_claude_v2_4!J109,recreation_claude_v2_3!J109,recreation_claude_v2_2!J109,recreation_claude_v2_1!J109),0),"NA")</f>
        <v>0</v>
      </c>
      <c r="J109">
        <f>IF($E109 = 1,ROUND(SUM(recreation_claude_v2_5!K109,recreation_claude_v2_4!K109,recreation_claude_v2_3!K109,recreation_claude_v2_2!K109,recreation_claude_v2_1!K109)/COUNT(recreation_claude_v2_5!K109,recreation_claude_v2_4!K109,recreation_claude_v2_3!K109,recreation_claude_v2_2!K109,recreation_claude_v2_1!K109),0),"NA")</f>
        <v>1</v>
      </c>
      <c r="K109">
        <f>IF(AND($F109 = 1, $G109 = 1),ROUND(SUM(recreation_claude_v2_5!L109,recreation_claude_v2_4!L109,recreation_claude_v2_3!L109,recreation_claude_v2_2!L109,recreation_claude_v2_1!L109)/COUNT(recreation_claude_v2_5!L109,recreation_claude_v2_4!L109,recreation_claude_v2_3!L109,recreation_claude_v2_2!L109,recreation_claude_v2_1!L109),0),"NA")</f>
        <v>1</v>
      </c>
      <c r="L109">
        <f>IF($E109 = 1,ROUND(SUM(recreation_claude_v2_5!L109,recreation_claude_v2_4!L109,recreation_claude_v2_3!L109,recreation_claude_v2_2!L109,recreation_claude_v2_1!L109)/COUNT(recreation_claude_v2_5!L109,recreation_claude_v2_4!L109,recreation_claude_v2_3!L109,recreation_claude_v2_2!L109,recreation_claude_v2_1!L109),0),"NA")</f>
        <v>1</v>
      </c>
      <c r="M109">
        <f>IF($E109 = 1,ROUND(SUM(recreation_claude_v2_5!M109,recreation_claude_v2_4!M109,recreation_claude_v2_3!M109,recreation_claude_v2_2!M109,recreation_claude_v2_1!M109)/COUNT(recreation_claude_v2_5!M109,recreation_claude_v2_4!M109,recreation_claude_v2_3!M109,recreation_claude_v2_2!M109,recreation_claude_v2_1!M109),0),"NA")</f>
        <v>1</v>
      </c>
      <c r="N109">
        <f>IF($E109 = 1,ROUND(SUM(recreation_claude_v2_5!N109,recreation_claude_v2_4!N109,recreation_claude_v2_3!N109,recreation_claude_v2_2!N109,recreation_claude_v2_1!N109)/COUNT(recreation_claude_v2_5!N109,recreation_claude_v2_4!N109,recreation_claude_v2_3!N109,recreation_claude_v2_2!N109,recreation_claude_v2_1!N109),0),"NA")</f>
        <v>1</v>
      </c>
      <c r="O109">
        <f>IF($E109 = 1,ROUND(SUM(recreation_claude_v2_5!O109,recreation_claude_v2_4!O109,recreation_claude_v2_3!O109,recreation_claude_v2_2!O109,recreation_claude_v2_1!O109)/COUNT(recreation_claude_v2_5!O109,recreation_claude_v2_4!O109,recreation_claude_v2_3!O109,recreation_claude_v2_2!O109,recreation_claude_v2_1!O109),0),"NA")</f>
        <v>1</v>
      </c>
    </row>
    <row r="110" spans="1:15" x14ac:dyDescent="0.25">
      <c r="A110" t="s">
        <v>92</v>
      </c>
      <c r="B110" t="s">
        <v>133</v>
      </c>
      <c r="C110">
        <v>0</v>
      </c>
      <c r="D110">
        <v>11.552912473678591</v>
      </c>
      <c r="E110">
        <f>ROUND(SUM(recreation_claude_v2_5!E110,recreation_claude_v2_4!E110,recreation_claude_v2_3!E110,recreation_claude_v2_2!E110,recreation_claude_v2_1!E110)/COUNT(recreation_claude_v2_5!E110,recreation_claude_v2_4!E110,recreation_claude_v2_3!E110,recreation_claude_v2_2!E110,recreation_claude_v2_1!E110),0)</f>
        <v>1</v>
      </c>
      <c r="F110">
        <f>IF($E110 = 1,ROUND(SUM(recreation_claude_v2_5!F110,recreation_claude_v2_4!F110,recreation_claude_v2_3!F110,recreation_claude_v2_2!F110,recreation_claude_v2_1!F110)/COUNT(recreation_claude_v2_5!F110,recreation_claude_v2_4!F110,recreation_claude_v2_3!F110,recreation_claude_v2_2!F110,recreation_claude_v2_1!F110),0),"NA")</f>
        <v>1</v>
      </c>
      <c r="G110">
        <f>IF($E110 = 1,ROUND(SUM(recreation_claude_v2_5!G110,recreation_claude_v2_4!G110,recreation_claude_v2_3!G110,recreation_claude_v2_2!G110,recreation_claude_v2_1!G110)/COUNT(recreation_claude_v2_5!G110,recreation_claude_v2_4!G110,recreation_claude_v2_3!G110,recreation_claude_v2_2!G110,recreation_claude_v2_1!G110),0),"NA")</f>
        <v>1</v>
      </c>
      <c r="H110">
        <f>IF($E110 = 1,ROUND(SUM(recreation_claude_v2_5!I110,recreation_claude_v2_4!I110,recreation_claude_v2_3!I110,recreation_claude_v2_2!I110,recreation_claude_v2_1!I110)/COUNT(recreation_claude_v2_5!I110,recreation_claude_v2_4!I110,recreation_claude_v2_3!I110,recreation_claude_v2_2!I110,recreation_claude_v2_1!I110),0),"NA")</f>
        <v>1</v>
      </c>
      <c r="I110">
        <f>IF($F110 = 1,ROUND(SUM(recreation_claude_v2_5!J110,recreation_claude_v2_4!J110,recreation_claude_v2_3!J110,recreation_claude_v2_2!J110,recreation_claude_v2_1!J110)/COUNT(recreation_claude_v2_5!J110,recreation_claude_v2_4!J110,recreation_claude_v2_3!J110,recreation_claude_v2_2!J110,recreation_claude_v2_1!J110),0),"NA")</f>
        <v>0</v>
      </c>
      <c r="J110">
        <f>IF($E110 = 1,ROUND(SUM(recreation_claude_v2_5!K110,recreation_claude_v2_4!K110,recreation_claude_v2_3!K110,recreation_claude_v2_2!K110,recreation_claude_v2_1!K110)/COUNT(recreation_claude_v2_5!K110,recreation_claude_v2_4!K110,recreation_claude_v2_3!K110,recreation_claude_v2_2!K110,recreation_claude_v2_1!K110),0),"NA")</f>
        <v>1</v>
      </c>
      <c r="K110">
        <f>IF(AND($F110 = 1, $G110 = 1),ROUND(SUM(recreation_claude_v2_5!L110,recreation_claude_v2_4!L110,recreation_claude_v2_3!L110,recreation_claude_v2_2!L110,recreation_claude_v2_1!L110)/COUNT(recreation_claude_v2_5!L110,recreation_claude_v2_4!L110,recreation_claude_v2_3!L110,recreation_claude_v2_2!L110,recreation_claude_v2_1!L110),0),"NA")</f>
        <v>1</v>
      </c>
      <c r="L110">
        <f>IF($E110 = 1,ROUND(SUM(recreation_claude_v2_5!L110,recreation_claude_v2_4!L110,recreation_claude_v2_3!L110,recreation_claude_v2_2!L110,recreation_claude_v2_1!L110)/COUNT(recreation_claude_v2_5!L110,recreation_claude_v2_4!L110,recreation_claude_v2_3!L110,recreation_claude_v2_2!L110,recreation_claude_v2_1!L110),0),"NA")</f>
        <v>1</v>
      </c>
      <c r="M110">
        <f>IF($E110 = 1,ROUND(SUM(recreation_claude_v2_5!M110,recreation_claude_v2_4!M110,recreation_claude_v2_3!M110,recreation_claude_v2_2!M110,recreation_claude_v2_1!M110)/COUNT(recreation_claude_v2_5!M110,recreation_claude_v2_4!M110,recreation_claude_v2_3!M110,recreation_claude_v2_2!M110,recreation_claude_v2_1!M110),0),"NA")</f>
        <v>1</v>
      </c>
      <c r="N110">
        <f>IF($E110 = 1,ROUND(SUM(recreation_claude_v2_5!N110,recreation_claude_v2_4!N110,recreation_claude_v2_3!N110,recreation_claude_v2_2!N110,recreation_claude_v2_1!N110)/COUNT(recreation_claude_v2_5!N110,recreation_claude_v2_4!N110,recreation_claude_v2_3!N110,recreation_claude_v2_2!N110,recreation_claude_v2_1!N110),0),"NA")</f>
        <v>1</v>
      </c>
      <c r="O110">
        <f>IF($E110 = 1,ROUND(SUM(recreation_claude_v2_5!O110,recreation_claude_v2_4!O110,recreation_claude_v2_3!O110,recreation_claude_v2_2!O110,recreation_claude_v2_1!O110)/COUNT(recreation_claude_v2_5!O110,recreation_claude_v2_4!O110,recreation_claude_v2_3!O110,recreation_claude_v2_2!O110,recreation_claude_v2_1!O110),0),"NA")</f>
        <v>1</v>
      </c>
    </row>
    <row r="111" spans="1:15" x14ac:dyDescent="0.25">
      <c r="A111" t="s">
        <v>92</v>
      </c>
      <c r="B111" t="s">
        <v>135</v>
      </c>
      <c r="C111">
        <v>0</v>
      </c>
      <c r="D111">
        <v>6.5544965267181396</v>
      </c>
      <c r="E111">
        <f>ROUND(SUM(recreation_claude_v2_5!E111,recreation_claude_v2_4!E111,recreation_claude_v2_3!E111,recreation_claude_v2_2!E111,recreation_claude_v2_1!E111)/COUNT(recreation_claude_v2_5!E111,recreation_claude_v2_4!E111,recreation_claude_v2_3!E111,recreation_claude_v2_2!E111,recreation_claude_v2_1!E111),0)</f>
        <v>1</v>
      </c>
      <c r="F111">
        <f>IF($E111 = 1,ROUND(SUM(recreation_claude_v2_5!F111,recreation_claude_v2_4!F111,recreation_claude_v2_3!F111,recreation_claude_v2_2!F111,recreation_claude_v2_1!F111)/COUNT(recreation_claude_v2_5!F111,recreation_claude_v2_4!F111,recreation_claude_v2_3!F111,recreation_claude_v2_2!F111,recreation_claude_v2_1!F111),0),"NA")</f>
        <v>1</v>
      </c>
      <c r="G111">
        <f>IF($E111 = 1,ROUND(SUM(recreation_claude_v2_5!G111,recreation_claude_v2_4!G111,recreation_claude_v2_3!G111,recreation_claude_v2_2!G111,recreation_claude_v2_1!G111)/COUNT(recreation_claude_v2_5!G111,recreation_claude_v2_4!G111,recreation_claude_v2_3!G111,recreation_claude_v2_2!G111,recreation_claude_v2_1!G111),0),"NA")</f>
        <v>1</v>
      </c>
      <c r="H111">
        <f>IF($E111 = 1,ROUND(SUM(recreation_claude_v2_5!I111,recreation_claude_v2_4!I111,recreation_claude_v2_3!I111,recreation_claude_v2_2!I111,recreation_claude_v2_1!I111)/COUNT(recreation_claude_v2_5!I111,recreation_claude_v2_4!I111,recreation_claude_v2_3!I111,recreation_claude_v2_2!I111,recreation_claude_v2_1!I111),0),"NA")</f>
        <v>1</v>
      </c>
      <c r="I111">
        <f>IF($F111 = 1,ROUND(SUM(recreation_claude_v2_5!J111,recreation_claude_v2_4!J111,recreation_claude_v2_3!J111,recreation_claude_v2_2!J111,recreation_claude_v2_1!J111)/COUNT(recreation_claude_v2_5!J111,recreation_claude_v2_4!J111,recreation_claude_v2_3!J111,recreation_claude_v2_2!J111,recreation_claude_v2_1!J111),0),"NA")</f>
        <v>0</v>
      </c>
      <c r="J111">
        <f>IF($E111 = 1,ROUND(SUM(recreation_claude_v2_5!K111,recreation_claude_v2_4!K111,recreation_claude_v2_3!K111,recreation_claude_v2_2!K111,recreation_claude_v2_1!K111)/COUNT(recreation_claude_v2_5!K111,recreation_claude_v2_4!K111,recreation_claude_v2_3!K111,recreation_claude_v2_2!K111,recreation_claude_v2_1!K111),0),"NA")</f>
        <v>0</v>
      </c>
      <c r="K111">
        <f>IF(AND($F111 = 1, $G111 = 1),ROUND(SUM(recreation_claude_v2_5!L111,recreation_claude_v2_4!L111,recreation_claude_v2_3!L111,recreation_claude_v2_2!L111,recreation_claude_v2_1!L111)/COUNT(recreation_claude_v2_5!L111,recreation_claude_v2_4!L111,recreation_claude_v2_3!L111,recreation_claude_v2_2!L111,recreation_claude_v2_1!L111),0),"NA")</f>
        <v>0</v>
      </c>
      <c r="L111">
        <f>IF($E111 = 1,ROUND(SUM(recreation_claude_v2_5!L111,recreation_claude_v2_4!L111,recreation_claude_v2_3!L111,recreation_claude_v2_2!L111,recreation_claude_v2_1!L111)/COUNT(recreation_claude_v2_5!L111,recreation_claude_v2_4!L111,recreation_claude_v2_3!L111,recreation_claude_v2_2!L111,recreation_claude_v2_1!L111),0),"NA")</f>
        <v>0</v>
      </c>
      <c r="M111">
        <f>IF($E111 = 1,ROUND(SUM(recreation_claude_v2_5!M111,recreation_claude_v2_4!M111,recreation_claude_v2_3!M111,recreation_claude_v2_2!M111,recreation_claude_v2_1!M111)/COUNT(recreation_claude_v2_5!M111,recreation_claude_v2_4!M111,recreation_claude_v2_3!M111,recreation_claude_v2_2!M111,recreation_claude_v2_1!M111),0),"NA")</f>
        <v>1</v>
      </c>
      <c r="N111">
        <f>IF($E111 = 1,ROUND(SUM(recreation_claude_v2_5!N111,recreation_claude_v2_4!N111,recreation_claude_v2_3!N111,recreation_claude_v2_2!N111,recreation_claude_v2_1!N111)/COUNT(recreation_claude_v2_5!N111,recreation_claude_v2_4!N111,recreation_claude_v2_3!N111,recreation_claude_v2_2!N111,recreation_claude_v2_1!N111),0),"NA")</f>
        <v>1</v>
      </c>
      <c r="O111">
        <f>IF($E111 = 1,ROUND(SUM(recreation_claude_v2_5!O111,recreation_claude_v2_4!O111,recreation_claude_v2_3!O111,recreation_claude_v2_2!O111,recreation_claude_v2_1!O111)/COUNT(recreation_claude_v2_5!O111,recreation_claude_v2_4!O111,recreation_claude_v2_3!O111,recreation_claude_v2_2!O111,recreation_claude_v2_1!O111),0),"NA")</f>
        <v>1</v>
      </c>
    </row>
    <row r="112" spans="1:15" x14ac:dyDescent="0.25">
      <c r="A112" t="s">
        <v>92</v>
      </c>
      <c r="B112" t="s">
        <v>137</v>
      </c>
      <c r="C112">
        <v>0</v>
      </c>
      <c r="D112">
        <v>2.9543757438659668</v>
      </c>
      <c r="E112">
        <f>ROUND(SUM(recreation_claude_v2_5!E112,recreation_claude_v2_4!E112,recreation_claude_v2_3!E112,recreation_claude_v2_2!E112,recreation_claude_v2_1!E112)/COUNT(recreation_claude_v2_5!E112,recreation_claude_v2_4!E112,recreation_claude_v2_3!E112,recreation_claude_v2_2!E112,recreation_claude_v2_1!E112),0)</f>
        <v>1</v>
      </c>
      <c r="F112">
        <f>IF($E112 = 1,ROUND(SUM(recreation_claude_v2_5!F112,recreation_claude_v2_4!F112,recreation_claude_v2_3!F112,recreation_claude_v2_2!F112,recreation_claude_v2_1!F112)/COUNT(recreation_claude_v2_5!F112,recreation_claude_v2_4!F112,recreation_claude_v2_3!F112,recreation_claude_v2_2!F112,recreation_claude_v2_1!F112),0),"NA")</f>
        <v>1</v>
      </c>
      <c r="G112">
        <f>IF($E112 = 1,ROUND(SUM(recreation_claude_v2_5!G112,recreation_claude_v2_4!G112,recreation_claude_v2_3!G112,recreation_claude_v2_2!G112,recreation_claude_v2_1!G112)/COUNT(recreation_claude_v2_5!G112,recreation_claude_v2_4!G112,recreation_claude_v2_3!G112,recreation_claude_v2_2!G112,recreation_claude_v2_1!G112),0),"NA")</f>
        <v>1</v>
      </c>
      <c r="H112">
        <f>IF($E112 = 1,ROUND(SUM(recreation_claude_v2_5!I112,recreation_claude_v2_4!I112,recreation_claude_v2_3!I112,recreation_claude_v2_2!I112,recreation_claude_v2_1!I112)/COUNT(recreation_claude_v2_5!I112,recreation_claude_v2_4!I112,recreation_claude_v2_3!I112,recreation_claude_v2_2!I112,recreation_claude_v2_1!I112),0),"NA")</f>
        <v>1</v>
      </c>
      <c r="I112">
        <f>IF($F112 = 1,ROUND(SUM(recreation_claude_v2_5!J112,recreation_claude_v2_4!J112,recreation_claude_v2_3!J112,recreation_claude_v2_2!J112,recreation_claude_v2_1!J112)/COUNT(recreation_claude_v2_5!J112,recreation_claude_v2_4!J112,recreation_claude_v2_3!J112,recreation_claude_v2_2!J112,recreation_claude_v2_1!J112),0),"NA")</f>
        <v>1</v>
      </c>
      <c r="J112">
        <f>IF($E112 = 1,ROUND(SUM(recreation_claude_v2_5!K112,recreation_claude_v2_4!K112,recreation_claude_v2_3!K112,recreation_claude_v2_2!K112,recreation_claude_v2_1!K112)/COUNT(recreation_claude_v2_5!K112,recreation_claude_v2_4!K112,recreation_claude_v2_3!K112,recreation_claude_v2_2!K112,recreation_claude_v2_1!K112),0),"NA")</f>
        <v>1</v>
      </c>
      <c r="K112">
        <f>IF(AND($F112 = 1, $G112 = 1),ROUND(SUM(recreation_claude_v2_5!L112,recreation_claude_v2_4!L112,recreation_claude_v2_3!L112,recreation_claude_v2_2!L112,recreation_claude_v2_1!L112)/COUNT(recreation_claude_v2_5!L112,recreation_claude_v2_4!L112,recreation_claude_v2_3!L112,recreation_claude_v2_2!L112,recreation_claude_v2_1!L112),0),"NA")</f>
        <v>1</v>
      </c>
      <c r="L112">
        <f>IF($E112 = 1,ROUND(SUM(recreation_claude_v2_5!L112,recreation_claude_v2_4!L112,recreation_claude_v2_3!L112,recreation_claude_v2_2!L112,recreation_claude_v2_1!L112)/COUNT(recreation_claude_v2_5!L112,recreation_claude_v2_4!L112,recreation_claude_v2_3!L112,recreation_claude_v2_2!L112,recreation_claude_v2_1!L112),0),"NA")</f>
        <v>1</v>
      </c>
      <c r="M112">
        <f>IF($E112 = 1,ROUND(SUM(recreation_claude_v2_5!M112,recreation_claude_v2_4!M112,recreation_claude_v2_3!M112,recreation_claude_v2_2!M112,recreation_claude_v2_1!M112)/COUNT(recreation_claude_v2_5!M112,recreation_claude_v2_4!M112,recreation_claude_v2_3!M112,recreation_claude_v2_2!M112,recreation_claude_v2_1!M112),0),"NA")</f>
        <v>1</v>
      </c>
      <c r="N112">
        <f>IF($E112 = 1,ROUND(SUM(recreation_claude_v2_5!N112,recreation_claude_v2_4!N112,recreation_claude_v2_3!N112,recreation_claude_v2_2!N112,recreation_claude_v2_1!N112)/COUNT(recreation_claude_v2_5!N112,recreation_claude_v2_4!N112,recreation_claude_v2_3!N112,recreation_claude_v2_2!N112,recreation_claude_v2_1!N112),0),"NA")</f>
        <v>1</v>
      </c>
      <c r="O112">
        <f>IF($E112 = 1,ROUND(SUM(recreation_claude_v2_5!O112,recreation_claude_v2_4!O112,recreation_claude_v2_3!O112,recreation_claude_v2_2!O112,recreation_claude_v2_1!O112)/COUNT(recreation_claude_v2_5!O112,recreation_claude_v2_4!O112,recreation_claude_v2_3!O112,recreation_claude_v2_2!O112,recreation_claude_v2_1!O112),0),"NA")</f>
        <v>1</v>
      </c>
    </row>
    <row r="113" spans="1:15" x14ac:dyDescent="0.25">
      <c r="A113" t="s">
        <v>92</v>
      </c>
      <c r="B113" t="s">
        <v>138</v>
      </c>
      <c r="C113">
        <v>0</v>
      </c>
      <c r="D113">
        <v>5.1121490001678467</v>
      </c>
      <c r="E113">
        <f>ROUND(SUM(recreation_claude_v2_5!E113,recreation_claude_v2_4!E113,recreation_claude_v2_3!E113,recreation_claude_v2_2!E113,recreation_claude_v2_1!E113)/COUNT(recreation_claude_v2_5!E113,recreation_claude_v2_4!E113,recreation_claude_v2_3!E113,recreation_claude_v2_2!E113,recreation_claude_v2_1!E113),0)</f>
        <v>1</v>
      </c>
      <c r="F113">
        <f>IF($E113 = 1,ROUND(SUM(recreation_claude_v2_5!F113,recreation_claude_v2_4!F113,recreation_claude_v2_3!F113,recreation_claude_v2_2!F113,recreation_claude_v2_1!F113)/COUNT(recreation_claude_v2_5!F113,recreation_claude_v2_4!F113,recreation_claude_v2_3!F113,recreation_claude_v2_2!F113,recreation_claude_v2_1!F113),0),"NA")</f>
        <v>1</v>
      </c>
      <c r="G113">
        <f>IF($E113 = 1,ROUND(SUM(recreation_claude_v2_5!G113,recreation_claude_v2_4!G113,recreation_claude_v2_3!G113,recreation_claude_v2_2!G113,recreation_claude_v2_1!G113)/COUNT(recreation_claude_v2_5!G113,recreation_claude_v2_4!G113,recreation_claude_v2_3!G113,recreation_claude_v2_2!G113,recreation_claude_v2_1!G113),0),"NA")</f>
        <v>1</v>
      </c>
      <c r="H113">
        <f>IF($E113 = 1,ROUND(SUM(recreation_claude_v2_5!I113,recreation_claude_v2_4!I113,recreation_claude_v2_3!I113,recreation_claude_v2_2!I113,recreation_claude_v2_1!I113)/COUNT(recreation_claude_v2_5!I113,recreation_claude_v2_4!I113,recreation_claude_v2_3!I113,recreation_claude_v2_2!I113,recreation_claude_v2_1!I113),0),"NA")</f>
        <v>1</v>
      </c>
      <c r="I113">
        <f>IF($F113 = 1,ROUND(SUM(recreation_claude_v2_5!J113,recreation_claude_v2_4!J113,recreation_claude_v2_3!J113,recreation_claude_v2_2!J113,recreation_claude_v2_1!J113)/COUNT(recreation_claude_v2_5!J113,recreation_claude_v2_4!J113,recreation_claude_v2_3!J113,recreation_claude_v2_2!J113,recreation_claude_v2_1!J113),0),"NA")</f>
        <v>0</v>
      </c>
      <c r="J113">
        <f>IF($E113 = 1,ROUND(SUM(recreation_claude_v2_5!K113,recreation_claude_v2_4!K113,recreation_claude_v2_3!K113,recreation_claude_v2_2!K113,recreation_claude_v2_1!K113)/COUNT(recreation_claude_v2_5!K113,recreation_claude_v2_4!K113,recreation_claude_v2_3!K113,recreation_claude_v2_2!K113,recreation_claude_v2_1!K113),0),"NA")</f>
        <v>1</v>
      </c>
      <c r="K113">
        <f>IF(AND($F113 = 1, $G113 = 1),ROUND(SUM(recreation_claude_v2_5!L113,recreation_claude_v2_4!L113,recreation_claude_v2_3!L113,recreation_claude_v2_2!L113,recreation_claude_v2_1!L113)/COUNT(recreation_claude_v2_5!L113,recreation_claude_v2_4!L113,recreation_claude_v2_3!L113,recreation_claude_v2_2!L113,recreation_claude_v2_1!L113),0),"NA")</f>
        <v>1</v>
      </c>
      <c r="L113">
        <f>IF($E113 = 1,ROUND(SUM(recreation_claude_v2_5!L113,recreation_claude_v2_4!L113,recreation_claude_v2_3!L113,recreation_claude_v2_2!L113,recreation_claude_v2_1!L113)/COUNT(recreation_claude_v2_5!L113,recreation_claude_v2_4!L113,recreation_claude_v2_3!L113,recreation_claude_v2_2!L113,recreation_claude_v2_1!L113),0),"NA")</f>
        <v>1</v>
      </c>
      <c r="M113">
        <f>IF($E113 = 1,ROUND(SUM(recreation_claude_v2_5!M113,recreation_claude_v2_4!M113,recreation_claude_v2_3!M113,recreation_claude_v2_2!M113,recreation_claude_v2_1!M113)/COUNT(recreation_claude_v2_5!M113,recreation_claude_v2_4!M113,recreation_claude_v2_3!M113,recreation_claude_v2_2!M113,recreation_claude_v2_1!M113),0),"NA")</f>
        <v>1</v>
      </c>
      <c r="N113">
        <f>IF($E113 = 1,ROUND(SUM(recreation_claude_v2_5!N113,recreation_claude_v2_4!N113,recreation_claude_v2_3!N113,recreation_claude_v2_2!N113,recreation_claude_v2_1!N113)/COUNT(recreation_claude_v2_5!N113,recreation_claude_v2_4!N113,recreation_claude_v2_3!N113,recreation_claude_v2_2!N113,recreation_claude_v2_1!N113),0),"NA")</f>
        <v>1</v>
      </c>
      <c r="O113">
        <f>IF($E113 = 1,ROUND(SUM(recreation_claude_v2_5!O113,recreation_claude_v2_4!O113,recreation_claude_v2_3!O113,recreation_claude_v2_2!O113,recreation_claude_v2_1!O113)/COUNT(recreation_claude_v2_5!O113,recreation_claude_v2_4!O113,recreation_claude_v2_3!O113,recreation_claude_v2_2!O113,recreation_claude_v2_1!O113),0),"NA")</f>
        <v>1</v>
      </c>
    </row>
    <row r="114" spans="1:15" x14ac:dyDescent="0.25">
      <c r="A114" t="s">
        <v>140</v>
      </c>
      <c r="B114" t="s">
        <v>17</v>
      </c>
      <c r="C114">
        <v>0</v>
      </c>
      <c r="D114">
        <v>2.8906033039093022</v>
      </c>
      <c r="E114">
        <f>ROUND(SUM(recreation_claude_v2_5!E114,recreation_claude_v2_4!E114,recreation_claude_v2_3!E114,recreation_claude_v2_2!E114,recreation_claude_v2_1!E114)/COUNT(recreation_claude_v2_5!E114,recreation_claude_v2_4!E114,recreation_claude_v2_3!E114,recreation_claude_v2_2!E114,recreation_claude_v2_1!E114),0)</f>
        <v>1</v>
      </c>
      <c r="F114">
        <f>IF($E114 = 1,ROUND(SUM(recreation_claude_v2_5!F114,recreation_claude_v2_4!F114,recreation_claude_v2_3!F114,recreation_claude_v2_2!F114,recreation_claude_v2_1!F114)/COUNT(recreation_claude_v2_5!F114,recreation_claude_v2_4!F114,recreation_claude_v2_3!F114,recreation_claude_v2_2!F114,recreation_claude_v2_1!F114),0),"NA")</f>
        <v>1</v>
      </c>
      <c r="G114">
        <f>IF($E114 = 1,ROUND(SUM(recreation_claude_v2_5!G114,recreation_claude_v2_4!G114,recreation_claude_v2_3!G114,recreation_claude_v2_2!G114,recreation_claude_v2_1!G114)/COUNT(recreation_claude_v2_5!G114,recreation_claude_v2_4!G114,recreation_claude_v2_3!G114,recreation_claude_v2_2!G114,recreation_claude_v2_1!G114),0),"NA")</f>
        <v>1</v>
      </c>
      <c r="H114">
        <f>IF($E114 = 1,ROUND(SUM(recreation_claude_v2_5!I114,recreation_claude_v2_4!I114,recreation_claude_v2_3!I114,recreation_claude_v2_2!I114,recreation_claude_v2_1!I114)/COUNT(recreation_claude_v2_5!I114,recreation_claude_v2_4!I114,recreation_claude_v2_3!I114,recreation_claude_v2_2!I114,recreation_claude_v2_1!I114),0),"NA")</f>
        <v>1</v>
      </c>
      <c r="I114">
        <f>IF($F114 = 1,ROUND(SUM(recreation_claude_v2_5!J114,recreation_claude_v2_4!J114,recreation_claude_v2_3!J114,recreation_claude_v2_2!J114,recreation_claude_v2_1!J114)/COUNT(recreation_claude_v2_5!J114,recreation_claude_v2_4!J114,recreation_claude_v2_3!J114,recreation_claude_v2_2!J114,recreation_claude_v2_1!J114),0),"NA")</f>
        <v>1</v>
      </c>
      <c r="J114">
        <f>IF($E114 = 1,ROUND(SUM(recreation_claude_v2_5!K114,recreation_claude_v2_4!K114,recreation_claude_v2_3!K114,recreation_claude_v2_2!K114,recreation_claude_v2_1!K114)/COUNT(recreation_claude_v2_5!K114,recreation_claude_v2_4!K114,recreation_claude_v2_3!K114,recreation_claude_v2_2!K114,recreation_claude_v2_1!K114),0),"NA")</f>
        <v>1</v>
      </c>
      <c r="K114">
        <f>IF(AND($F114 = 1, $G114 = 1),ROUND(SUM(recreation_claude_v2_5!L114,recreation_claude_v2_4!L114,recreation_claude_v2_3!L114,recreation_claude_v2_2!L114,recreation_claude_v2_1!L114)/COUNT(recreation_claude_v2_5!L114,recreation_claude_v2_4!L114,recreation_claude_v2_3!L114,recreation_claude_v2_2!L114,recreation_claude_v2_1!L114),0),"NA")</f>
        <v>1</v>
      </c>
      <c r="L114">
        <f>IF($E114 = 1,ROUND(SUM(recreation_claude_v2_5!L114,recreation_claude_v2_4!L114,recreation_claude_v2_3!L114,recreation_claude_v2_2!L114,recreation_claude_v2_1!L114)/COUNT(recreation_claude_v2_5!L114,recreation_claude_v2_4!L114,recreation_claude_v2_3!L114,recreation_claude_v2_2!L114,recreation_claude_v2_1!L114),0),"NA")</f>
        <v>1</v>
      </c>
      <c r="M114">
        <f>IF($E114 = 1,ROUND(SUM(recreation_claude_v2_5!M114,recreation_claude_v2_4!M114,recreation_claude_v2_3!M114,recreation_claude_v2_2!M114,recreation_claude_v2_1!M114)/COUNT(recreation_claude_v2_5!M114,recreation_claude_v2_4!M114,recreation_claude_v2_3!M114,recreation_claude_v2_2!M114,recreation_claude_v2_1!M114),0),"NA")</f>
        <v>1</v>
      </c>
      <c r="N114">
        <f>IF($E114 = 1,ROUND(SUM(recreation_claude_v2_5!N114,recreation_claude_v2_4!N114,recreation_claude_v2_3!N114,recreation_claude_v2_2!N114,recreation_claude_v2_1!N114)/COUNT(recreation_claude_v2_5!N114,recreation_claude_v2_4!N114,recreation_claude_v2_3!N114,recreation_claude_v2_2!N114,recreation_claude_v2_1!N114),0),"NA")</f>
        <v>1</v>
      </c>
      <c r="O114">
        <f>IF($E114 = 1,ROUND(SUM(recreation_claude_v2_5!O114,recreation_claude_v2_4!O114,recreation_claude_v2_3!O114,recreation_claude_v2_2!O114,recreation_claude_v2_1!O114)/COUNT(recreation_claude_v2_5!O114,recreation_claude_v2_4!O114,recreation_claude_v2_3!O114,recreation_claude_v2_2!O114,recreation_claude_v2_1!O114),0),"NA")</f>
        <v>1</v>
      </c>
    </row>
    <row r="115" spans="1:15" x14ac:dyDescent="0.25">
      <c r="A115" t="s">
        <v>140</v>
      </c>
      <c r="B115" t="s">
        <v>19</v>
      </c>
      <c r="C115">
        <v>0</v>
      </c>
      <c r="D115">
        <v>9.585864782333374</v>
      </c>
      <c r="E115">
        <f>ROUND(SUM(recreation_claude_v2_5!E115,recreation_claude_v2_4!E115,recreation_claude_v2_3!E115,recreation_claude_v2_2!E115,recreation_claude_v2_1!E115)/COUNT(recreation_claude_v2_5!E115,recreation_claude_v2_4!E115,recreation_claude_v2_3!E115,recreation_claude_v2_2!E115,recreation_claude_v2_1!E115),0)</f>
        <v>1</v>
      </c>
      <c r="F115">
        <f>IF($E115 = 1,ROUND(SUM(recreation_claude_v2_5!F115,recreation_claude_v2_4!F115,recreation_claude_v2_3!F115,recreation_claude_v2_2!F115,recreation_claude_v2_1!F115)/COUNT(recreation_claude_v2_5!F115,recreation_claude_v2_4!F115,recreation_claude_v2_3!F115,recreation_claude_v2_2!F115,recreation_claude_v2_1!F115),0),"NA")</f>
        <v>1</v>
      </c>
      <c r="G115">
        <f>IF($E115 = 1,ROUND(SUM(recreation_claude_v2_5!G115,recreation_claude_v2_4!G115,recreation_claude_v2_3!G115,recreation_claude_v2_2!G115,recreation_claude_v2_1!G115)/COUNT(recreation_claude_v2_5!G115,recreation_claude_v2_4!G115,recreation_claude_v2_3!G115,recreation_claude_v2_2!G115,recreation_claude_v2_1!G115),0),"NA")</f>
        <v>1</v>
      </c>
      <c r="H115">
        <f>IF($E115 = 1,ROUND(SUM(recreation_claude_v2_5!I115,recreation_claude_v2_4!I115,recreation_claude_v2_3!I115,recreation_claude_v2_2!I115,recreation_claude_v2_1!I115)/COUNT(recreation_claude_v2_5!I115,recreation_claude_v2_4!I115,recreation_claude_v2_3!I115,recreation_claude_v2_2!I115,recreation_claude_v2_1!I115),0),"NA")</f>
        <v>1</v>
      </c>
      <c r="I115">
        <f>IF($F115 = 1,ROUND(SUM(recreation_claude_v2_5!J115,recreation_claude_v2_4!J115,recreation_claude_v2_3!J115,recreation_claude_v2_2!J115,recreation_claude_v2_1!J115)/COUNT(recreation_claude_v2_5!J115,recreation_claude_v2_4!J115,recreation_claude_v2_3!J115,recreation_claude_v2_2!J115,recreation_claude_v2_1!J115),0),"NA")</f>
        <v>1</v>
      </c>
      <c r="J115">
        <f>IF($E115 = 1,ROUND(SUM(recreation_claude_v2_5!K115,recreation_claude_v2_4!K115,recreation_claude_v2_3!K115,recreation_claude_v2_2!K115,recreation_claude_v2_1!K115)/COUNT(recreation_claude_v2_5!K115,recreation_claude_v2_4!K115,recreation_claude_v2_3!K115,recreation_claude_v2_2!K115,recreation_claude_v2_1!K115),0),"NA")</f>
        <v>1</v>
      </c>
      <c r="K115">
        <f>IF(AND($F115 = 1, $G115 = 1),ROUND(SUM(recreation_claude_v2_5!L115,recreation_claude_v2_4!L115,recreation_claude_v2_3!L115,recreation_claude_v2_2!L115,recreation_claude_v2_1!L115)/COUNT(recreation_claude_v2_5!L115,recreation_claude_v2_4!L115,recreation_claude_v2_3!L115,recreation_claude_v2_2!L115,recreation_claude_v2_1!L115),0),"NA")</f>
        <v>1</v>
      </c>
      <c r="L115">
        <f>IF($E115 = 1,ROUND(SUM(recreation_claude_v2_5!L115,recreation_claude_v2_4!L115,recreation_claude_v2_3!L115,recreation_claude_v2_2!L115,recreation_claude_v2_1!L115)/COUNT(recreation_claude_v2_5!L115,recreation_claude_v2_4!L115,recreation_claude_v2_3!L115,recreation_claude_v2_2!L115,recreation_claude_v2_1!L115),0),"NA")</f>
        <v>1</v>
      </c>
      <c r="M115">
        <f>IF($E115 = 1,ROUND(SUM(recreation_claude_v2_5!M115,recreation_claude_v2_4!M115,recreation_claude_v2_3!M115,recreation_claude_v2_2!M115,recreation_claude_v2_1!M115)/COUNT(recreation_claude_v2_5!M115,recreation_claude_v2_4!M115,recreation_claude_v2_3!M115,recreation_claude_v2_2!M115,recreation_claude_v2_1!M115),0),"NA")</f>
        <v>1</v>
      </c>
      <c r="N115">
        <f>IF($E115 = 1,ROUND(SUM(recreation_claude_v2_5!N115,recreation_claude_v2_4!N115,recreation_claude_v2_3!N115,recreation_claude_v2_2!N115,recreation_claude_v2_1!N115)/COUNT(recreation_claude_v2_5!N115,recreation_claude_v2_4!N115,recreation_claude_v2_3!N115,recreation_claude_v2_2!N115,recreation_claude_v2_1!N115),0),"NA")</f>
        <v>1</v>
      </c>
      <c r="O115">
        <f>IF($E115 = 1,ROUND(SUM(recreation_claude_v2_5!O115,recreation_claude_v2_4!O115,recreation_claude_v2_3!O115,recreation_claude_v2_2!O115,recreation_claude_v2_1!O115)/COUNT(recreation_claude_v2_5!O115,recreation_claude_v2_4!O115,recreation_claude_v2_3!O115,recreation_claude_v2_2!O115,recreation_claude_v2_1!O115),0),"NA")</f>
        <v>1</v>
      </c>
    </row>
    <row r="116" spans="1:15" x14ac:dyDescent="0.25">
      <c r="A116" t="s">
        <v>140</v>
      </c>
      <c r="B116" t="s">
        <v>20</v>
      </c>
      <c r="C116">
        <v>0</v>
      </c>
      <c r="D116">
        <v>10.011415958404539</v>
      </c>
      <c r="E116">
        <f>ROUND(SUM(recreation_claude_v2_5!E116,recreation_claude_v2_4!E116,recreation_claude_v2_3!E116,recreation_claude_v2_2!E116,recreation_claude_v2_1!E116)/COUNT(recreation_claude_v2_5!E116,recreation_claude_v2_4!E116,recreation_claude_v2_3!E116,recreation_claude_v2_2!E116,recreation_claude_v2_1!E116),0)</f>
        <v>0</v>
      </c>
      <c r="F116" t="str">
        <f>IF($E116 = 1,ROUND(SUM(recreation_claude_v2_5!F116,recreation_claude_v2_4!F116,recreation_claude_v2_3!F116,recreation_claude_v2_2!F116,recreation_claude_v2_1!F116)/COUNT(recreation_claude_v2_5!F116,recreation_claude_v2_4!F116,recreation_claude_v2_3!F116,recreation_claude_v2_2!F116,recreation_claude_v2_1!F116),0),"NA")</f>
        <v>NA</v>
      </c>
      <c r="G116" t="str">
        <f>IF($E116 = 1,ROUND(SUM(recreation_claude_v2_5!G116,recreation_claude_v2_4!G116,recreation_claude_v2_3!G116,recreation_claude_v2_2!G116,recreation_claude_v2_1!G116)/COUNT(recreation_claude_v2_5!G116,recreation_claude_v2_4!G116,recreation_claude_v2_3!G116,recreation_claude_v2_2!G116,recreation_claude_v2_1!G116),0),"NA")</f>
        <v>NA</v>
      </c>
      <c r="H116" t="str">
        <f>IF($E116 = 1,ROUND(SUM(recreation_claude_v2_5!I116,recreation_claude_v2_4!I116,recreation_claude_v2_3!I116,recreation_claude_v2_2!I116,recreation_claude_v2_1!I116)/COUNT(recreation_claude_v2_5!I116,recreation_claude_v2_4!I116,recreation_claude_v2_3!I116,recreation_claude_v2_2!I116,recreation_claude_v2_1!I116),0),"NA")</f>
        <v>NA</v>
      </c>
      <c r="I116" t="str">
        <f>IF($F116 = 1,ROUND(SUM(recreation_claude_v2_5!J116,recreation_claude_v2_4!J116,recreation_claude_v2_3!J116,recreation_claude_v2_2!J116,recreation_claude_v2_1!J116)/COUNT(recreation_claude_v2_5!J116,recreation_claude_v2_4!J116,recreation_claude_v2_3!J116,recreation_claude_v2_2!J116,recreation_claude_v2_1!J116),0),"NA")</f>
        <v>NA</v>
      </c>
      <c r="J116" t="str">
        <f>IF($E116 = 1,ROUND(SUM(recreation_claude_v2_5!K116,recreation_claude_v2_4!K116,recreation_claude_v2_3!K116,recreation_claude_v2_2!K116,recreation_claude_v2_1!K116)/COUNT(recreation_claude_v2_5!K116,recreation_claude_v2_4!K116,recreation_claude_v2_3!K116,recreation_claude_v2_2!K116,recreation_claude_v2_1!K116),0),"NA")</f>
        <v>NA</v>
      </c>
      <c r="K116" t="str">
        <f>IF(AND($F116 = 1, $G116 = 1),ROUND(SUM(recreation_claude_v2_5!L116,recreation_claude_v2_4!L116,recreation_claude_v2_3!L116,recreation_claude_v2_2!L116,recreation_claude_v2_1!L116)/COUNT(recreation_claude_v2_5!L116,recreation_claude_v2_4!L116,recreation_claude_v2_3!L116,recreation_claude_v2_2!L116,recreation_claude_v2_1!L116),0),"NA")</f>
        <v>NA</v>
      </c>
      <c r="L116" t="str">
        <f>IF($E116 = 1,ROUND(SUM(recreation_claude_v2_5!L116,recreation_claude_v2_4!L116,recreation_claude_v2_3!L116,recreation_claude_v2_2!L116,recreation_claude_v2_1!L116)/COUNT(recreation_claude_v2_5!L116,recreation_claude_v2_4!L116,recreation_claude_v2_3!L116,recreation_claude_v2_2!L116,recreation_claude_v2_1!L116),0),"NA")</f>
        <v>NA</v>
      </c>
      <c r="M116" t="str">
        <f>IF($E116 = 1,ROUND(SUM(recreation_claude_v2_5!M116,recreation_claude_v2_4!M116,recreation_claude_v2_3!M116,recreation_claude_v2_2!M116,recreation_claude_v2_1!M116)/COUNT(recreation_claude_v2_5!M116,recreation_claude_v2_4!M116,recreation_claude_v2_3!M116,recreation_claude_v2_2!M116,recreation_claude_v2_1!M116),0),"NA")</f>
        <v>NA</v>
      </c>
      <c r="N116" t="str">
        <f>IF($E116 = 1,ROUND(SUM(recreation_claude_v2_5!N116,recreation_claude_v2_4!N116,recreation_claude_v2_3!N116,recreation_claude_v2_2!N116,recreation_claude_v2_1!N116)/COUNT(recreation_claude_v2_5!N116,recreation_claude_v2_4!N116,recreation_claude_v2_3!N116,recreation_claude_v2_2!N116,recreation_claude_v2_1!N116),0),"NA")</f>
        <v>NA</v>
      </c>
      <c r="O116" t="str">
        <f>IF($E116 = 1,ROUND(SUM(recreation_claude_v2_5!O116,recreation_claude_v2_4!O116,recreation_claude_v2_3!O116,recreation_claude_v2_2!O116,recreation_claude_v2_1!O116)/COUNT(recreation_claude_v2_5!O116,recreation_claude_v2_4!O116,recreation_claude_v2_3!O116,recreation_claude_v2_2!O116,recreation_claude_v2_1!O116),0),"NA")</f>
        <v>NA</v>
      </c>
    </row>
    <row r="117" spans="1:15" x14ac:dyDescent="0.25">
      <c r="A117" t="s">
        <v>140</v>
      </c>
      <c r="B117" t="s">
        <v>21</v>
      </c>
      <c r="C117">
        <v>0</v>
      </c>
      <c r="D117">
        <v>3.056660413742065</v>
      </c>
      <c r="E117">
        <f>ROUND(SUM(recreation_claude_v2_5!E117,recreation_claude_v2_4!E117,recreation_claude_v2_3!E117,recreation_claude_v2_2!E117,recreation_claude_v2_1!E117)/COUNT(recreation_claude_v2_5!E117,recreation_claude_v2_4!E117,recreation_claude_v2_3!E117,recreation_claude_v2_2!E117,recreation_claude_v2_1!E117),0)</f>
        <v>1</v>
      </c>
      <c r="F117">
        <f>IF($E117 = 1,ROUND(SUM(recreation_claude_v2_5!F117,recreation_claude_v2_4!F117,recreation_claude_v2_3!F117,recreation_claude_v2_2!F117,recreation_claude_v2_1!F117)/COUNT(recreation_claude_v2_5!F117,recreation_claude_v2_4!F117,recreation_claude_v2_3!F117,recreation_claude_v2_2!F117,recreation_claude_v2_1!F117),0),"NA")</f>
        <v>1</v>
      </c>
      <c r="G117">
        <f>IF($E117 = 1,ROUND(SUM(recreation_claude_v2_5!G117,recreation_claude_v2_4!G117,recreation_claude_v2_3!G117,recreation_claude_v2_2!G117,recreation_claude_v2_1!G117)/COUNT(recreation_claude_v2_5!G117,recreation_claude_v2_4!G117,recreation_claude_v2_3!G117,recreation_claude_v2_2!G117,recreation_claude_v2_1!G117),0),"NA")</f>
        <v>1</v>
      </c>
      <c r="H117">
        <f>IF($E117 = 1,ROUND(SUM(recreation_claude_v2_5!I117,recreation_claude_v2_4!I117,recreation_claude_v2_3!I117,recreation_claude_v2_2!I117,recreation_claude_v2_1!I117)/COUNT(recreation_claude_v2_5!I117,recreation_claude_v2_4!I117,recreation_claude_v2_3!I117,recreation_claude_v2_2!I117,recreation_claude_v2_1!I117),0),"NA")</f>
        <v>1</v>
      </c>
      <c r="I117">
        <f>IF($F117 = 1,ROUND(SUM(recreation_claude_v2_5!J117,recreation_claude_v2_4!J117,recreation_claude_v2_3!J117,recreation_claude_v2_2!J117,recreation_claude_v2_1!J117)/COUNT(recreation_claude_v2_5!J117,recreation_claude_v2_4!J117,recreation_claude_v2_3!J117,recreation_claude_v2_2!J117,recreation_claude_v2_1!J117),0),"NA")</f>
        <v>1</v>
      </c>
      <c r="J117">
        <f>IF($E117 = 1,ROUND(SUM(recreation_claude_v2_5!K117,recreation_claude_v2_4!K117,recreation_claude_v2_3!K117,recreation_claude_v2_2!K117,recreation_claude_v2_1!K117)/COUNT(recreation_claude_v2_5!K117,recreation_claude_v2_4!K117,recreation_claude_v2_3!K117,recreation_claude_v2_2!K117,recreation_claude_v2_1!K117),0),"NA")</f>
        <v>1</v>
      </c>
      <c r="K117">
        <f>IF(AND($F117 = 1, $G117 = 1),ROUND(SUM(recreation_claude_v2_5!L117,recreation_claude_v2_4!L117,recreation_claude_v2_3!L117,recreation_claude_v2_2!L117,recreation_claude_v2_1!L117)/COUNT(recreation_claude_v2_5!L117,recreation_claude_v2_4!L117,recreation_claude_v2_3!L117,recreation_claude_v2_2!L117,recreation_claude_v2_1!L117),0),"NA")</f>
        <v>1</v>
      </c>
      <c r="L117">
        <f>IF($E117 = 1,ROUND(SUM(recreation_claude_v2_5!L117,recreation_claude_v2_4!L117,recreation_claude_v2_3!L117,recreation_claude_v2_2!L117,recreation_claude_v2_1!L117)/COUNT(recreation_claude_v2_5!L117,recreation_claude_v2_4!L117,recreation_claude_v2_3!L117,recreation_claude_v2_2!L117,recreation_claude_v2_1!L117),0),"NA")</f>
        <v>1</v>
      </c>
      <c r="M117">
        <f>IF($E117 = 1,ROUND(SUM(recreation_claude_v2_5!M117,recreation_claude_v2_4!M117,recreation_claude_v2_3!M117,recreation_claude_v2_2!M117,recreation_claude_v2_1!M117)/COUNT(recreation_claude_v2_5!M117,recreation_claude_v2_4!M117,recreation_claude_v2_3!M117,recreation_claude_v2_2!M117,recreation_claude_v2_1!M117),0),"NA")</f>
        <v>1</v>
      </c>
      <c r="N117">
        <f>IF($E117 = 1,ROUND(SUM(recreation_claude_v2_5!N117,recreation_claude_v2_4!N117,recreation_claude_v2_3!N117,recreation_claude_v2_2!N117,recreation_claude_v2_1!N117)/COUNT(recreation_claude_v2_5!N117,recreation_claude_v2_4!N117,recreation_claude_v2_3!N117,recreation_claude_v2_2!N117,recreation_claude_v2_1!N117),0),"NA")</f>
        <v>1</v>
      </c>
      <c r="O117">
        <f>IF($E117 = 1,ROUND(SUM(recreation_claude_v2_5!O117,recreation_claude_v2_4!O117,recreation_claude_v2_3!O117,recreation_claude_v2_2!O117,recreation_claude_v2_1!O117)/COUNT(recreation_claude_v2_5!O117,recreation_claude_v2_4!O117,recreation_claude_v2_3!O117,recreation_claude_v2_2!O117,recreation_claude_v2_1!O117),0),"NA")</f>
        <v>1</v>
      </c>
    </row>
    <row r="118" spans="1:15" x14ac:dyDescent="0.25">
      <c r="A118" t="s">
        <v>140</v>
      </c>
      <c r="B118" t="s">
        <v>24</v>
      </c>
      <c r="C118">
        <v>0</v>
      </c>
      <c r="D118">
        <v>4.9001142978668213</v>
      </c>
      <c r="E118">
        <f>ROUND(SUM(recreation_claude_v2_5!E118,recreation_claude_v2_4!E118,recreation_claude_v2_3!E118,recreation_claude_v2_2!E118,recreation_claude_v2_1!E118)/COUNT(recreation_claude_v2_5!E118,recreation_claude_v2_4!E118,recreation_claude_v2_3!E118,recreation_claude_v2_2!E118,recreation_claude_v2_1!E118),0)</f>
        <v>1</v>
      </c>
      <c r="F118">
        <f>IF($E118 = 1,ROUND(SUM(recreation_claude_v2_5!F118,recreation_claude_v2_4!F118,recreation_claude_v2_3!F118,recreation_claude_v2_2!F118,recreation_claude_v2_1!F118)/COUNT(recreation_claude_v2_5!F118,recreation_claude_v2_4!F118,recreation_claude_v2_3!F118,recreation_claude_v2_2!F118,recreation_claude_v2_1!F118),0),"NA")</f>
        <v>1</v>
      </c>
      <c r="G118">
        <f>IF($E118 = 1,ROUND(SUM(recreation_claude_v2_5!G118,recreation_claude_v2_4!G118,recreation_claude_v2_3!G118,recreation_claude_v2_2!G118,recreation_claude_v2_1!G118)/COUNT(recreation_claude_v2_5!G118,recreation_claude_v2_4!G118,recreation_claude_v2_3!G118,recreation_claude_v2_2!G118,recreation_claude_v2_1!G118),0),"NA")</f>
        <v>0</v>
      </c>
      <c r="H118">
        <f>IF($E118 = 1,ROUND(SUM(recreation_claude_v2_5!I118,recreation_claude_v2_4!I118,recreation_claude_v2_3!I118,recreation_claude_v2_2!I118,recreation_claude_v2_1!I118)/COUNT(recreation_claude_v2_5!I118,recreation_claude_v2_4!I118,recreation_claude_v2_3!I118,recreation_claude_v2_2!I118,recreation_claude_v2_1!I118),0),"NA")</f>
        <v>1</v>
      </c>
      <c r="I118">
        <f>IF($F118 = 1,ROUND(SUM(recreation_claude_v2_5!J118,recreation_claude_v2_4!J118,recreation_claude_v2_3!J118,recreation_claude_v2_2!J118,recreation_claude_v2_1!J118)/COUNT(recreation_claude_v2_5!J118,recreation_claude_v2_4!J118,recreation_claude_v2_3!J118,recreation_claude_v2_2!J118,recreation_claude_v2_1!J118),0),"NA")</f>
        <v>1</v>
      </c>
      <c r="J118">
        <f>IF($E118 = 1,ROUND(SUM(recreation_claude_v2_5!K118,recreation_claude_v2_4!K118,recreation_claude_v2_3!K118,recreation_claude_v2_2!K118,recreation_claude_v2_1!K118)/COUNT(recreation_claude_v2_5!K118,recreation_claude_v2_4!K118,recreation_claude_v2_3!K118,recreation_claude_v2_2!K118,recreation_claude_v2_1!K118),0),"NA")</f>
        <v>1</v>
      </c>
      <c r="K118" t="str">
        <f>IF(AND($F118 = 1, $G118 = 1),ROUND(SUM(recreation_claude_v2_5!L118,recreation_claude_v2_4!L118,recreation_claude_v2_3!L118,recreation_claude_v2_2!L118,recreation_claude_v2_1!L118)/COUNT(recreation_claude_v2_5!L118,recreation_claude_v2_4!L118,recreation_claude_v2_3!L118,recreation_claude_v2_2!L118,recreation_claude_v2_1!L118),0),"NA")</f>
        <v>NA</v>
      </c>
      <c r="L118">
        <f>IF($E118 = 1,ROUND(SUM(recreation_claude_v2_5!L118,recreation_claude_v2_4!L118,recreation_claude_v2_3!L118,recreation_claude_v2_2!L118,recreation_claude_v2_1!L118)/COUNT(recreation_claude_v2_5!L118,recreation_claude_v2_4!L118,recreation_claude_v2_3!L118,recreation_claude_v2_2!L118,recreation_claude_v2_1!L118),0),"NA")</f>
        <v>1</v>
      </c>
      <c r="M118">
        <f>IF($E118 = 1,ROUND(SUM(recreation_claude_v2_5!M118,recreation_claude_v2_4!M118,recreation_claude_v2_3!M118,recreation_claude_v2_2!M118,recreation_claude_v2_1!M118)/COUNT(recreation_claude_v2_5!M118,recreation_claude_v2_4!M118,recreation_claude_v2_3!M118,recreation_claude_v2_2!M118,recreation_claude_v2_1!M118),0),"NA")</f>
        <v>1</v>
      </c>
      <c r="N118">
        <f>IF($E118 = 1,ROUND(SUM(recreation_claude_v2_5!N118,recreation_claude_v2_4!N118,recreation_claude_v2_3!N118,recreation_claude_v2_2!N118,recreation_claude_v2_1!N118)/COUNT(recreation_claude_v2_5!N118,recreation_claude_v2_4!N118,recreation_claude_v2_3!N118,recreation_claude_v2_2!N118,recreation_claude_v2_1!N118),0),"NA")</f>
        <v>1</v>
      </c>
      <c r="O118">
        <f>IF($E118 = 1,ROUND(SUM(recreation_claude_v2_5!O118,recreation_claude_v2_4!O118,recreation_claude_v2_3!O118,recreation_claude_v2_2!O118,recreation_claude_v2_1!O118)/COUNT(recreation_claude_v2_5!O118,recreation_claude_v2_4!O118,recreation_claude_v2_3!O118,recreation_claude_v2_2!O118,recreation_claude_v2_1!O118),0),"NA")</f>
        <v>1</v>
      </c>
    </row>
    <row r="119" spans="1:15" x14ac:dyDescent="0.25">
      <c r="A119" t="s">
        <v>140</v>
      </c>
      <c r="B119" t="s">
        <v>25</v>
      </c>
      <c r="C119">
        <v>0</v>
      </c>
      <c r="D119">
        <v>11.7631242275238</v>
      </c>
      <c r="E119">
        <f>ROUND(SUM(recreation_claude_v2_5!E119,recreation_claude_v2_4!E119,recreation_claude_v2_3!E119,recreation_claude_v2_2!E119,recreation_claude_v2_1!E119)/COUNT(recreation_claude_v2_5!E119,recreation_claude_v2_4!E119,recreation_claude_v2_3!E119,recreation_claude_v2_2!E119,recreation_claude_v2_1!E119),0)</f>
        <v>1</v>
      </c>
      <c r="F119">
        <f>IF($E119 = 1,ROUND(SUM(recreation_claude_v2_5!F119,recreation_claude_v2_4!F119,recreation_claude_v2_3!F119,recreation_claude_v2_2!F119,recreation_claude_v2_1!F119)/COUNT(recreation_claude_v2_5!F119,recreation_claude_v2_4!F119,recreation_claude_v2_3!F119,recreation_claude_v2_2!F119,recreation_claude_v2_1!F119),0),"NA")</f>
        <v>0</v>
      </c>
      <c r="G119">
        <f>IF($E119 = 1,ROUND(SUM(recreation_claude_v2_5!G119,recreation_claude_v2_4!G119,recreation_claude_v2_3!G119,recreation_claude_v2_2!G119,recreation_claude_v2_1!G119)/COUNT(recreation_claude_v2_5!G119,recreation_claude_v2_4!G119,recreation_claude_v2_3!G119,recreation_claude_v2_2!G119,recreation_claude_v2_1!G119),0),"NA")</f>
        <v>1</v>
      </c>
      <c r="H119">
        <f>IF($E119 = 1,ROUND(SUM(recreation_claude_v2_5!I119,recreation_claude_v2_4!I119,recreation_claude_v2_3!I119,recreation_claude_v2_2!I119,recreation_claude_v2_1!I119)/COUNT(recreation_claude_v2_5!I119,recreation_claude_v2_4!I119,recreation_claude_v2_3!I119,recreation_claude_v2_2!I119,recreation_claude_v2_1!I119),0),"NA")</f>
        <v>1</v>
      </c>
      <c r="I119" t="str">
        <f>IF($F119 = 1,ROUND(SUM(recreation_claude_v2_5!J119,recreation_claude_v2_4!J119,recreation_claude_v2_3!J119,recreation_claude_v2_2!J119,recreation_claude_v2_1!J119)/COUNT(recreation_claude_v2_5!J119,recreation_claude_v2_4!J119,recreation_claude_v2_3!J119,recreation_claude_v2_2!J119,recreation_claude_v2_1!J119),0),"NA")</f>
        <v>NA</v>
      </c>
      <c r="J119">
        <f>IF($E119 = 1,ROUND(SUM(recreation_claude_v2_5!K119,recreation_claude_v2_4!K119,recreation_claude_v2_3!K119,recreation_claude_v2_2!K119,recreation_claude_v2_1!K119)/COUNT(recreation_claude_v2_5!K119,recreation_claude_v2_4!K119,recreation_claude_v2_3!K119,recreation_claude_v2_2!K119,recreation_claude_v2_1!K119),0),"NA")</f>
        <v>1</v>
      </c>
      <c r="K119" t="str">
        <f>IF(AND($F119 = 1, $G119 = 1),ROUND(SUM(recreation_claude_v2_5!L119,recreation_claude_v2_4!L119,recreation_claude_v2_3!L119,recreation_claude_v2_2!L119,recreation_claude_v2_1!L119)/COUNT(recreation_claude_v2_5!L119,recreation_claude_v2_4!L119,recreation_claude_v2_3!L119,recreation_claude_v2_2!L119,recreation_claude_v2_1!L119),0),"NA")</f>
        <v>NA</v>
      </c>
      <c r="L119">
        <f>IF($E119 = 1,ROUND(SUM(recreation_claude_v2_5!L119,recreation_claude_v2_4!L119,recreation_claude_v2_3!L119,recreation_claude_v2_2!L119,recreation_claude_v2_1!L119)/COUNT(recreation_claude_v2_5!L119,recreation_claude_v2_4!L119,recreation_claude_v2_3!L119,recreation_claude_v2_2!L119,recreation_claude_v2_1!L119),0),"NA")</f>
        <v>1</v>
      </c>
      <c r="M119">
        <f>IF($E119 = 1,ROUND(SUM(recreation_claude_v2_5!M119,recreation_claude_v2_4!M119,recreation_claude_v2_3!M119,recreation_claude_v2_2!M119,recreation_claude_v2_1!M119)/COUNT(recreation_claude_v2_5!M119,recreation_claude_v2_4!M119,recreation_claude_v2_3!M119,recreation_claude_v2_2!M119,recreation_claude_v2_1!M119),0),"NA")</f>
        <v>0</v>
      </c>
      <c r="N119">
        <f>IF($E119 = 1,ROUND(SUM(recreation_claude_v2_5!N119,recreation_claude_v2_4!N119,recreation_claude_v2_3!N119,recreation_claude_v2_2!N119,recreation_claude_v2_1!N119)/COUNT(recreation_claude_v2_5!N119,recreation_claude_v2_4!N119,recreation_claude_v2_3!N119,recreation_claude_v2_2!N119,recreation_claude_v2_1!N119),0),"NA")</f>
        <v>1</v>
      </c>
      <c r="O119">
        <f>IF($E119 = 1,ROUND(SUM(recreation_claude_v2_5!O119,recreation_claude_v2_4!O119,recreation_claude_v2_3!O119,recreation_claude_v2_2!O119,recreation_claude_v2_1!O119)/COUNT(recreation_claude_v2_5!O119,recreation_claude_v2_4!O119,recreation_claude_v2_3!O119,recreation_claude_v2_2!O119,recreation_claude_v2_1!O119),0),"NA")</f>
        <v>1</v>
      </c>
    </row>
    <row r="120" spans="1:15" x14ac:dyDescent="0.25">
      <c r="A120" t="s">
        <v>140</v>
      </c>
      <c r="B120" t="s">
        <v>26</v>
      </c>
      <c r="C120">
        <v>0</v>
      </c>
      <c r="D120">
        <v>7.1591958999633789</v>
      </c>
      <c r="E120">
        <f>ROUND(SUM(recreation_claude_v2_5!E120,recreation_claude_v2_4!E120,recreation_claude_v2_3!E120,recreation_claude_v2_2!E120,recreation_claude_v2_1!E120)/COUNT(recreation_claude_v2_5!E120,recreation_claude_v2_4!E120,recreation_claude_v2_3!E120,recreation_claude_v2_2!E120,recreation_claude_v2_1!E120),0)</f>
        <v>1</v>
      </c>
      <c r="F120">
        <f>IF($E120 = 1,ROUND(SUM(recreation_claude_v2_5!F120,recreation_claude_v2_4!F120,recreation_claude_v2_3!F120,recreation_claude_v2_2!F120,recreation_claude_v2_1!F120)/COUNT(recreation_claude_v2_5!F120,recreation_claude_v2_4!F120,recreation_claude_v2_3!F120,recreation_claude_v2_2!F120,recreation_claude_v2_1!F120),0),"NA")</f>
        <v>1</v>
      </c>
      <c r="G120">
        <f>IF($E120 = 1,ROUND(SUM(recreation_claude_v2_5!G120,recreation_claude_v2_4!G120,recreation_claude_v2_3!G120,recreation_claude_v2_2!G120,recreation_claude_v2_1!G120)/COUNT(recreation_claude_v2_5!G120,recreation_claude_v2_4!G120,recreation_claude_v2_3!G120,recreation_claude_v2_2!G120,recreation_claude_v2_1!G120),0),"NA")</f>
        <v>0</v>
      </c>
      <c r="H120">
        <f>IF($E120 = 1,ROUND(SUM(recreation_claude_v2_5!I120,recreation_claude_v2_4!I120,recreation_claude_v2_3!I120,recreation_claude_v2_2!I120,recreation_claude_v2_1!I120)/COUNT(recreation_claude_v2_5!I120,recreation_claude_v2_4!I120,recreation_claude_v2_3!I120,recreation_claude_v2_2!I120,recreation_claude_v2_1!I120),0),"NA")</f>
        <v>1</v>
      </c>
      <c r="I120">
        <f>IF($F120 = 1,ROUND(SUM(recreation_claude_v2_5!J120,recreation_claude_v2_4!J120,recreation_claude_v2_3!J120,recreation_claude_v2_2!J120,recreation_claude_v2_1!J120)/COUNT(recreation_claude_v2_5!J120,recreation_claude_v2_4!J120,recreation_claude_v2_3!J120,recreation_claude_v2_2!J120,recreation_claude_v2_1!J120),0),"NA")</f>
        <v>1</v>
      </c>
      <c r="J120">
        <f>IF($E120 = 1,ROUND(SUM(recreation_claude_v2_5!K120,recreation_claude_v2_4!K120,recreation_claude_v2_3!K120,recreation_claude_v2_2!K120,recreation_claude_v2_1!K120)/COUNT(recreation_claude_v2_5!K120,recreation_claude_v2_4!K120,recreation_claude_v2_3!K120,recreation_claude_v2_2!K120,recreation_claude_v2_1!K120),0),"NA")</f>
        <v>1</v>
      </c>
      <c r="K120" t="str">
        <f>IF(AND($F120 = 1, $G120 = 1),ROUND(SUM(recreation_claude_v2_5!L120,recreation_claude_v2_4!L120,recreation_claude_v2_3!L120,recreation_claude_v2_2!L120,recreation_claude_v2_1!L120)/COUNT(recreation_claude_v2_5!L120,recreation_claude_v2_4!L120,recreation_claude_v2_3!L120,recreation_claude_v2_2!L120,recreation_claude_v2_1!L120),0),"NA")</f>
        <v>NA</v>
      </c>
      <c r="L120">
        <f>IF($E120 = 1,ROUND(SUM(recreation_claude_v2_5!L120,recreation_claude_v2_4!L120,recreation_claude_v2_3!L120,recreation_claude_v2_2!L120,recreation_claude_v2_1!L120)/COUNT(recreation_claude_v2_5!L120,recreation_claude_v2_4!L120,recreation_claude_v2_3!L120,recreation_claude_v2_2!L120,recreation_claude_v2_1!L120),0),"NA")</f>
        <v>1</v>
      </c>
      <c r="M120">
        <f>IF($E120 = 1,ROUND(SUM(recreation_claude_v2_5!M120,recreation_claude_v2_4!M120,recreation_claude_v2_3!M120,recreation_claude_v2_2!M120,recreation_claude_v2_1!M120)/COUNT(recreation_claude_v2_5!M120,recreation_claude_v2_4!M120,recreation_claude_v2_3!M120,recreation_claude_v2_2!M120,recreation_claude_v2_1!M120),0),"NA")</f>
        <v>1</v>
      </c>
      <c r="N120">
        <f>IF($E120 = 1,ROUND(SUM(recreation_claude_v2_5!N120,recreation_claude_v2_4!N120,recreation_claude_v2_3!N120,recreation_claude_v2_2!N120,recreation_claude_v2_1!N120)/COUNT(recreation_claude_v2_5!N120,recreation_claude_v2_4!N120,recreation_claude_v2_3!N120,recreation_claude_v2_2!N120,recreation_claude_v2_1!N120),0),"NA")</f>
        <v>1</v>
      </c>
      <c r="O120">
        <f>IF($E120 = 1,ROUND(SUM(recreation_claude_v2_5!O120,recreation_claude_v2_4!O120,recreation_claude_v2_3!O120,recreation_claude_v2_2!O120,recreation_claude_v2_1!O120)/COUNT(recreation_claude_v2_5!O120,recreation_claude_v2_4!O120,recreation_claude_v2_3!O120,recreation_claude_v2_2!O120,recreation_claude_v2_1!O120),0),"NA")</f>
        <v>1</v>
      </c>
    </row>
    <row r="121" spans="1:15" x14ac:dyDescent="0.25">
      <c r="A121" t="s">
        <v>140</v>
      </c>
      <c r="B121" t="s">
        <v>27</v>
      </c>
      <c r="C121">
        <v>0</v>
      </c>
      <c r="D121">
        <v>2.9150197505950932</v>
      </c>
      <c r="E121">
        <f>ROUND(SUM(recreation_claude_v2_5!E121,recreation_claude_v2_4!E121,recreation_claude_v2_3!E121,recreation_claude_v2_2!E121,recreation_claude_v2_1!E121)/COUNT(recreation_claude_v2_5!E121,recreation_claude_v2_4!E121,recreation_claude_v2_3!E121,recreation_claude_v2_2!E121,recreation_claude_v2_1!E121),0)</f>
        <v>1</v>
      </c>
      <c r="F121">
        <f>IF($E121 = 1,ROUND(SUM(recreation_claude_v2_5!F121,recreation_claude_v2_4!F121,recreation_claude_v2_3!F121,recreation_claude_v2_2!F121,recreation_claude_v2_1!F121)/COUNT(recreation_claude_v2_5!F121,recreation_claude_v2_4!F121,recreation_claude_v2_3!F121,recreation_claude_v2_2!F121,recreation_claude_v2_1!F121),0),"NA")</f>
        <v>1</v>
      </c>
      <c r="G121">
        <f>IF($E121 = 1,ROUND(SUM(recreation_claude_v2_5!G121,recreation_claude_v2_4!G121,recreation_claude_v2_3!G121,recreation_claude_v2_2!G121,recreation_claude_v2_1!G121)/COUNT(recreation_claude_v2_5!G121,recreation_claude_v2_4!G121,recreation_claude_v2_3!G121,recreation_claude_v2_2!G121,recreation_claude_v2_1!G121),0),"NA")</f>
        <v>1</v>
      </c>
      <c r="H121">
        <f>IF($E121 = 1,ROUND(SUM(recreation_claude_v2_5!I121,recreation_claude_v2_4!I121,recreation_claude_v2_3!I121,recreation_claude_v2_2!I121,recreation_claude_v2_1!I121)/COUNT(recreation_claude_v2_5!I121,recreation_claude_v2_4!I121,recreation_claude_v2_3!I121,recreation_claude_v2_2!I121,recreation_claude_v2_1!I121),0),"NA")</f>
        <v>1</v>
      </c>
      <c r="I121">
        <f>IF($F121 = 1,ROUND(SUM(recreation_claude_v2_5!J121,recreation_claude_v2_4!J121,recreation_claude_v2_3!J121,recreation_claude_v2_2!J121,recreation_claude_v2_1!J121)/COUNT(recreation_claude_v2_5!J121,recreation_claude_v2_4!J121,recreation_claude_v2_3!J121,recreation_claude_v2_2!J121,recreation_claude_v2_1!J121),0),"NA")</f>
        <v>1</v>
      </c>
      <c r="J121">
        <f>IF($E121 = 1,ROUND(SUM(recreation_claude_v2_5!K121,recreation_claude_v2_4!K121,recreation_claude_v2_3!K121,recreation_claude_v2_2!K121,recreation_claude_v2_1!K121)/COUNT(recreation_claude_v2_5!K121,recreation_claude_v2_4!K121,recreation_claude_v2_3!K121,recreation_claude_v2_2!K121,recreation_claude_v2_1!K121),0),"NA")</f>
        <v>1</v>
      </c>
      <c r="K121">
        <f>IF(AND($F121 = 1, $G121 = 1),ROUND(SUM(recreation_claude_v2_5!L121,recreation_claude_v2_4!L121,recreation_claude_v2_3!L121,recreation_claude_v2_2!L121,recreation_claude_v2_1!L121)/COUNT(recreation_claude_v2_5!L121,recreation_claude_v2_4!L121,recreation_claude_v2_3!L121,recreation_claude_v2_2!L121,recreation_claude_v2_1!L121),0),"NA")</f>
        <v>1</v>
      </c>
      <c r="L121">
        <f>IF($E121 = 1,ROUND(SUM(recreation_claude_v2_5!L121,recreation_claude_v2_4!L121,recreation_claude_v2_3!L121,recreation_claude_v2_2!L121,recreation_claude_v2_1!L121)/COUNT(recreation_claude_v2_5!L121,recreation_claude_v2_4!L121,recreation_claude_v2_3!L121,recreation_claude_v2_2!L121,recreation_claude_v2_1!L121),0),"NA")</f>
        <v>1</v>
      </c>
      <c r="M121">
        <f>IF($E121 = 1,ROUND(SUM(recreation_claude_v2_5!M121,recreation_claude_v2_4!M121,recreation_claude_v2_3!M121,recreation_claude_v2_2!M121,recreation_claude_v2_1!M121)/COUNT(recreation_claude_v2_5!M121,recreation_claude_v2_4!M121,recreation_claude_v2_3!M121,recreation_claude_v2_2!M121,recreation_claude_v2_1!M121),0),"NA")</f>
        <v>1</v>
      </c>
      <c r="N121">
        <f>IF($E121 = 1,ROUND(SUM(recreation_claude_v2_5!N121,recreation_claude_v2_4!N121,recreation_claude_v2_3!N121,recreation_claude_v2_2!N121,recreation_claude_v2_1!N121)/COUNT(recreation_claude_v2_5!N121,recreation_claude_v2_4!N121,recreation_claude_v2_3!N121,recreation_claude_v2_2!N121,recreation_claude_v2_1!N121),0),"NA")</f>
        <v>1</v>
      </c>
      <c r="O121">
        <f>IF($E121 = 1,ROUND(SUM(recreation_claude_v2_5!O121,recreation_claude_v2_4!O121,recreation_claude_v2_3!O121,recreation_claude_v2_2!O121,recreation_claude_v2_1!O121)/COUNT(recreation_claude_v2_5!O121,recreation_claude_v2_4!O121,recreation_claude_v2_3!O121,recreation_claude_v2_2!O121,recreation_claude_v2_1!O121),0),"NA")</f>
        <v>1</v>
      </c>
    </row>
    <row r="122" spans="1:15" x14ac:dyDescent="0.25">
      <c r="A122" t="s">
        <v>140</v>
      </c>
      <c r="B122" t="s">
        <v>28</v>
      </c>
      <c r="C122">
        <v>0</v>
      </c>
      <c r="D122">
        <v>7.61073899269104</v>
      </c>
      <c r="E122">
        <f>ROUND(SUM(recreation_claude_v2_5!E122,recreation_claude_v2_4!E122,recreation_claude_v2_3!E122,recreation_claude_v2_2!E122,recreation_claude_v2_1!E122)/COUNT(recreation_claude_v2_5!E122,recreation_claude_v2_4!E122,recreation_claude_v2_3!E122,recreation_claude_v2_2!E122,recreation_claude_v2_1!E122),0)</f>
        <v>1</v>
      </c>
      <c r="F122">
        <f>IF($E122 = 1,ROUND(SUM(recreation_claude_v2_5!F122,recreation_claude_v2_4!F122,recreation_claude_v2_3!F122,recreation_claude_v2_2!F122,recreation_claude_v2_1!F122)/COUNT(recreation_claude_v2_5!F122,recreation_claude_v2_4!F122,recreation_claude_v2_3!F122,recreation_claude_v2_2!F122,recreation_claude_v2_1!F122),0),"NA")</f>
        <v>1</v>
      </c>
      <c r="G122">
        <f>IF($E122 = 1,ROUND(SUM(recreation_claude_v2_5!G122,recreation_claude_v2_4!G122,recreation_claude_v2_3!G122,recreation_claude_v2_2!G122,recreation_claude_v2_1!G122)/COUNT(recreation_claude_v2_5!G122,recreation_claude_v2_4!G122,recreation_claude_v2_3!G122,recreation_claude_v2_2!G122,recreation_claude_v2_1!G122),0),"NA")</f>
        <v>1</v>
      </c>
      <c r="H122">
        <f>IF($E122 = 1,ROUND(SUM(recreation_claude_v2_5!I122,recreation_claude_v2_4!I122,recreation_claude_v2_3!I122,recreation_claude_v2_2!I122,recreation_claude_v2_1!I122)/COUNT(recreation_claude_v2_5!I122,recreation_claude_v2_4!I122,recreation_claude_v2_3!I122,recreation_claude_v2_2!I122,recreation_claude_v2_1!I122),0),"NA")</f>
        <v>1</v>
      </c>
      <c r="I122">
        <f>IF($F122 = 1,ROUND(SUM(recreation_claude_v2_5!J122,recreation_claude_v2_4!J122,recreation_claude_v2_3!J122,recreation_claude_v2_2!J122,recreation_claude_v2_1!J122)/COUNT(recreation_claude_v2_5!J122,recreation_claude_v2_4!J122,recreation_claude_v2_3!J122,recreation_claude_v2_2!J122,recreation_claude_v2_1!J122),0),"NA")</f>
        <v>1</v>
      </c>
      <c r="J122">
        <f>IF($E122 = 1,ROUND(SUM(recreation_claude_v2_5!K122,recreation_claude_v2_4!K122,recreation_claude_v2_3!K122,recreation_claude_v2_2!K122,recreation_claude_v2_1!K122)/COUNT(recreation_claude_v2_5!K122,recreation_claude_v2_4!K122,recreation_claude_v2_3!K122,recreation_claude_v2_2!K122,recreation_claude_v2_1!K122),0),"NA")</f>
        <v>1</v>
      </c>
      <c r="K122">
        <f>IF(AND($F122 = 1, $G122 = 1),ROUND(SUM(recreation_claude_v2_5!L122,recreation_claude_v2_4!L122,recreation_claude_v2_3!L122,recreation_claude_v2_2!L122,recreation_claude_v2_1!L122)/COUNT(recreation_claude_v2_5!L122,recreation_claude_v2_4!L122,recreation_claude_v2_3!L122,recreation_claude_v2_2!L122,recreation_claude_v2_1!L122),0),"NA")</f>
        <v>1</v>
      </c>
      <c r="L122">
        <f>IF($E122 = 1,ROUND(SUM(recreation_claude_v2_5!L122,recreation_claude_v2_4!L122,recreation_claude_v2_3!L122,recreation_claude_v2_2!L122,recreation_claude_v2_1!L122)/COUNT(recreation_claude_v2_5!L122,recreation_claude_v2_4!L122,recreation_claude_v2_3!L122,recreation_claude_v2_2!L122,recreation_claude_v2_1!L122),0),"NA")</f>
        <v>1</v>
      </c>
      <c r="M122">
        <f>IF($E122 = 1,ROUND(SUM(recreation_claude_v2_5!M122,recreation_claude_v2_4!M122,recreation_claude_v2_3!M122,recreation_claude_v2_2!M122,recreation_claude_v2_1!M122)/COUNT(recreation_claude_v2_5!M122,recreation_claude_v2_4!M122,recreation_claude_v2_3!M122,recreation_claude_v2_2!M122,recreation_claude_v2_1!M122),0),"NA")</f>
        <v>1</v>
      </c>
      <c r="N122">
        <f>IF($E122 = 1,ROUND(SUM(recreation_claude_v2_5!N122,recreation_claude_v2_4!N122,recreation_claude_v2_3!N122,recreation_claude_v2_2!N122,recreation_claude_v2_1!N122)/COUNT(recreation_claude_v2_5!N122,recreation_claude_v2_4!N122,recreation_claude_v2_3!N122,recreation_claude_v2_2!N122,recreation_claude_v2_1!N122),0),"NA")</f>
        <v>1</v>
      </c>
      <c r="O122">
        <f>IF($E122 = 1,ROUND(SUM(recreation_claude_v2_5!O122,recreation_claude_v2_4!O122,recreation_claude_v2_3!O122,recreation_claude_v2_2!O122,recreation_claude_v2_1!O122)/COUNT(recreation_claude_v2_5!O122,recreation_claude_v2_4!O122,recreation_claude_v2_3!O122,recreation_claude_v2_2!O122,recreation_claude_v2_1!O122),0),"NA")</f>
        <v>1</v>
      </c>
    </row>
    <row r="123" spans="1:15" x14ac:dyDescent="0.25">
      <c r="A123" t="s">
        <v>140</v>
      </c>
      <c r="B123" t="s">
        <v>29</v>
      </c>
      <c r="C123">
        <v>0</v>
      </c>
      <c r="D123">
        <v>9.5013778209686279</v>
      </c>
      <c r="E123">
        <f>ROUND(SUM(recreation_claude_v2_5!E123,recreation_claude_v2_4!E123,recreation_claude_v2_3!E123,recreation_claude_v2_2!E123,recreation_claude_v2_1!E123)/COUNT(recreation_claude_v2_5!E123,recreation_claude_v2_4!E123,recreation_claude_v2_3!E123,recreation_claude_v2_2!E123,recreation_claude_v2_1!E123),0)</f>
        <v>1</v>
      </c>
      <c r="F123">
        <f>IF($E123 = 1,ROUND(SUM(recreation_claude_v2_5!F123,recreation_claude_v2_4!F123,recreation_claude_v2_3!F123,recreation_claude_v2_2!F123,recreation_claude_v2_1!F123)/COUNT(recreation_claude_v2_5!F123,recreation_claude_v2_4!F123,recreation_claude_v2_3!F123,recreation_claude_v2_2!F123,recreation_claude_v2_1!F123),0),"NA")</f>
        <v>0</v>
      </c>
      <c r="G123">
        <f>IF($E123 = 1,ROUND(SUM(recreation_claude_v2_5!G123,recreation_claude_v2_4!G123,recreation_claude_v2_3!G123,recreation_claude_v2_2!G123,recreation_claude_v2_1!G123)/COUNT(recreation_claude_v2_5!G123,recreation_claude_v2_4!G123,recreation_claude_v2_3!G123,recreation_claude_v2_2!G123,recreation_claude_v2_1!G123),0),"NA")</f>
        <v>1</v>
      </c>
      <c r="H123">
        <f>IF($E123 = 1,ROUND(SUM(recreation_claude_v2_5!I123,recreation_claude_v2_4!I123,recreation_claude_v2_3!I123,recreation_claude_v2_2!I123,recreation_claude_v2_1!I123)/COUNT(recreation_claude_v2_5!I123,recreation_claude_v2_4!I123,recreation_claude_v2_3!I123,recreation_claude_v2_2!I123,recreation_claude_v2_1!I123),0),"NA")</f>
        <v>1</v>
      </c>
      <c r="I123" t="str">
        <f>IF($F123 = 1,ROUND(SUM(recreation_claude_v2_5!J123,recreation_claude_v2_4!J123,recreation_claude_v2_3!J123,recreation_claude_v2_2!J123,recreation_claude_v2_1!J123)/COUNT(recreation_claude_v2_5!J123,recreation_claude_v2_4!J123,recreation_claude_v2_3!J123,recreation_claude_v2_2!J123,recreation_claude_v2_1!J123),0),"NA")</f>
        <v>NA</v>
      </c>
      <c r="J123">
        <f>IF($E123 = 1,ROUND(SUM(recreation_claude_v2_5!K123,recreation_claude_v2_4!K123,recreation_claude_v2_3!K123,recreation_claude_v2_2!K123,recreation_claude_v2_1!K123)/COUNT(recreation_claude_v2_5!K123,recreation_claude_v2_4!K123,recreation_claude_v2_3!K123,recreation_claude_v2_2!K123,recreation_claude_v2_1!K123),0),"NA")</f>
        <v>1</v>
      </c>
      <c r="K123" t="str">
        <f>IF(AND($F123 = 1, $G123 = 1),ROUND(SUM(recreation_claude_v2_5!L123,recreation_claude_v2_4!L123,recreation_claude_v2_3!L123,recreation_claude_v2_2!L123,recreation_claude_v2_1!L123)/COUNT(recreation_claude_v2_5!L123,recreation_claude_v2_4!L123,recreation_claude_v2_3!L123,recreation_claude_v2_2!L123,recreation_claude_v2_1!L123),0),"NA")</f>
        <v>NA</v>
      </c>
      <c r="L123">
        <f>IF($E123 = 1,ROUND(SUM(recreation_claude_v2_5!L123,recreation_claude_v2_4!L123,recreation_claude_v2_3!L123,recreation_claude_v2_2!L123,recreation_claude_v2_1!L123)/COUNT(recreation_claude_v2_5!L123,recreation_claude_v2_4!L123,recreation_claude_v2_3!L123,recreation_claude_v2_2!L123,recreation_claude_v2_1!L123),0),"NA")</f>
        <v>1</v>
      </c>
      <c r="M123">
        <f>IF($E123 = 1,ROUND(SUM(recreation_claude_v2_5!M123,recreation_claude_v2_4!M123,recreation_claude_v2_3!M123,recreation_claude_v2_2!M123,recreation_claude_v2_1!M123)/COUNT(recreation_claude_v2_5!M123,recreation_claude_v2_4!M123,recreation_claude_v2_3!M123,recreation_claude_v2_2!M123,recreation_claude_v2_1!M123),0),"NA")</f>
        <v>1</v>
      </c>
      <c r="N123">
        <f>IF($E123 = 1,ROUND(SUM(recreation_claude_v2_5!N123,recreation_claude_v2_4!N123,recreation_claude_v2_3!N123,recreation_claude_v2_2!N123,recreation_claude_v2_1!N123)/COUNT(recreation_claude_v2_5!N123,recreation_claude_v2_4!N123,recreation_claude_v2_3!N123,recreation_claude_v2_2!N123,recreation_claude_v2_1!N123),0),"NA")</f>
        <v>1</v>
      </c>
      <c r="O123">
        <f>IF($E123 = 1,ROUND(SUM(recreation_claude_v2_5!O123,recreation_claude_v2_4!O123,recreation_claude_v2_3!O123,recreation_claude_v2_2!O123,recreation_claude_v2_1!O123)/COUNT(recreation_claude_v2_5!O123,recreation_claude_v2_4!O123,recreation_claude_v2_3!O123,recreation_claude_v2_2!O123,recreation_claude_v2_1!O123),0),"NA")</f>
        <v>1</v>
      </c>
    </row>
    <row r="124" spans="1:15" x14ac:dyDescent="0.25">
      <c r="A124" t="s">
        <v>140</v>
      </c>
      <c r="B124" t="s">
        <v>30</v>
      </c>
      <c r="C124">
        <v>0</v>
      </c>
      <c r="D124">
        <v>12.99180436134338</v>
      </c>
      <c r="E124">
        <f>ROUND(SUM(recreation_claude_v2_5!E124,recreation_claude_v2_4!E124,recreation_claude_v2_3!E124,recreation_claude_v2_2!E124,recreation_claude_v2_1!E124)/COUNT(recreation_claude_v2_5!E124,recreation_claude_v2_4!E124,recreation_claude_v2_3!E124,recreation_claude_v2_2!E124,recreation_claude_v2_1!E124),0)</f>
        <v>1</v>
      </c>
      <c r="F124">
        <f>IF($E124 = 1,ROUND(SUM(recreation_claude_v2_5!F124,recreation_claude_v2_4!F124,recreation_claude_v2_3!F124,recreation_claude_v2_2!F124,recreation_claude_v2_1!F124)/COUNT(recreation_claude_v2_5!F124,recreation_claude_v2_4!F124,recreation_claude_v2_3!F124,recreation_claude_v2_2!F124,recreation_claude_v2_1!F124),0),"NA")</f>
        <v>0</v>
      </c>
      <c r="G124">
        <f>IF($E124 = 1,ROUND(SUM(recreation_claude_v2_5!G124,recreation_claude_v2_4!G124,recreation_claude_v2_3!G124,recreation_claude_v2_2!G124,recreation_claude_v2_1!G124)/COUNT(recreation_claude_v2_5!G124,recreation_claude_v2_4!G124,recreation_claude_v2_3!G124,recreation_claude_v2_2!G124,recreation_claude_v2_1!G124),0),"NA")</f>
        <v>1</v>
      </c>
      <c r="H124">
        <f>IF($E124 = 1,ROUND(SUM(recreation_claude_v2_5!I124,recreation_claude_v2_4!I124,recreation_claude_v2_3!I124,recreation_claude_v2_2!I124,recreation_claude_v2_1!I124)/COUNT(recreation_claude_v2_5!I124,recreation_claude_v2_4!I124,recreation_claude_v2_3!I124,recreation_claude_v2_2!I124,recreation_claude_v2_1!I124),0),"NA")</f>
        <v>1</v>
      </c>
      <c r="I124" t="str">
        <f>IF($F124 = 1,ROUND(SUM(recreation_claude_v2_5!J124,recreation_claude_v2_4!J124,recreation_claude_v2_3!J124,recreation_claude_v2_2!J124,recreation_claude_v2_1!J124)/COUNT(recreation_claude_v2_5!J124,recreation_claude_v2_4!J124,recreation_claude_v2_3!J124,recreation_claude_v2_2!J124,recreation_claude_v2_1!J124),0),"NA")</f>
        <v>NA</v>
      </c>
      <c r="J124">
        <f>IF($E124 = 1,ROUND(SUM(recreation_claude_v2_5!K124,recreation_claude_v2_4!K124,recreation_claude_v2_3!K124,recreation_claude_v2_2!K124,recreation_claude_v2_1!K124)/COUNT(recreation_claude_v2_5!K124,recreation_claude_v2_4!K124,recreation_claude_v2_3!K124,recreation_claude_v2_2!K124,recreation_claude_v2_1!K124),0),"NA")</f>
        <v>1</v>
      </c>
      <c r="K124" t="str">
        <f>IF(AND($F124 = 1, $G124 = 1),ROUND(SUM(recreation_claude_v2_5!L124,recreation_claude_v2_4!L124,recreation_claude_v2_3!L124,recreation_claude_v2_2!L124,recreation_claude_v2_1!L124)/COUNT(recreation_claude_v2_5!L124,recreation_claude_v2_4!L124,recreation_claude_v2_3!L124,recreation_claude_v2_2!L124,recreation_claude_v2_1!L124),0),"NA")</f>
        <v>NA</v>
      </c>
      <c r="L124">
        <f>IF($E124 = 1,ROUND(SUM(recreation_claude_v2_5!L124,recreation_claude_v2_4!L124,recreation_claude_v2_3!L124,recreation_claude_v2_2!L124,recreation_claude_v2_1!L124)/COUNT(recreation_claude_v2_5!L124,recreation_claude_v2_4!L124,recreation_claude_v2_3!L124,recreation_claude_v2_2!L124,recreation_claude_v2_1!L124),0),"NA")</f>
        <v>1</v>
      </c>
      <c r="M124">
        <f>IF($E124 = 1,ROUND(SUM(recreation_claude_v2_5!M124,recreation_claude_v2_4!M124,recreation_claude_v2_3!M124,recreation_claude_v2_2!M124,recreation_claude_v2_1!M124)/COUNT(recreation_claude_v2_5!M124,recreation_claude_v2_4!M124,recreation_claude_v2_3!M124,recreation_claude_v2_2!M124,recreation_claude_v2_1!M124),0),"NA")</f>
        <v>1</v>
      </c>
      <c r="N124">
        <f>IF($E124 = 1,ROUND(SUM(recreation_claude_v2_5!N124,recreation_claude_v2_4!N124,recreation_claude_v2_3!N124,recreation_claude_v2_2!N124,recreation_claude_v2_1!N124)/COUNT(recreation_claude_v2_5!N124,recreation_claude_v2_4!N124,recreation_claude_v2_3!N124,recreation_claude_v2_2!N124,recreation_claude_v2_1!N124),0),"NA")</f>
        <v>1</v>
      </c>
      <c r="O124">
        <f>IF($E124 = 1,ROUND(SUM(recreation_claude_v2_5!O124,recreation_claude_v2_4!O124,recreation_claude_v2_3!O124,recreation_claude_v2_2!O124,recreation_claude_v2_1!O124)/COUNT(recreation_claude_v2_5!O124,recreation_claude_v2_4!O124,recreation_claude_v2_3!O124,recreation_claude_v2_2!O124,recreation_claude_v2_1!O124),0),"NA")</f>
        <v>1</v>
      </c>
    </row>
    <row r="125" spans="1:15" x14ac:dyDescent="0.25">
      <c r="A125" t="s">
        <v>140</v>
      </c>
      <c r="B125" t="s">
        <v>32</v>
      </c>
      <c r="C125">
        <v>0</v>
      </c>
      <c r="D125">
        <v>9.2129335403442383</v>
      </c>
      <c r="E125">
        <f>ROUND(SUM(recreation_claude_v2_5!E125,recreation_claude_v2_4!E125,recreation_claude_v2_3!E125,recreation_claude_v2_2!E125,recreation_claude_v2_1!E125)/COUNT(recreation_claude_v2_5!E125,recreation_claude_v2_4!E125,recreation_claude_v2_3!E125,recreation_claude_v2_2!E125,recreation_claude_v2_1!E125),0)</f>
        <v>1</v>
      </c>
      <c r="F125">
        <f>IF($E125 = 1,ROUND(SUM(recreation_claude_v2_5!F125,recreation_claude_v2_4!F125,recreation_claude_v2_3!F125,recreation_claude_v2_2!F125,recreation_claude_v2_1!F125)/COUNT(recreation_claude_v2_5!F125,recreation_claude_v2_4!F125,recreation_claude_v2_3!F125,recreation_claude_v2_2!F125,recreation_claude_v2_1!F125),0),"NA")</f>
        <v>1</v>
      </c>
      <c r="G125">
        <f>IF($E125 = 1,ROUND(SUM(recreation_claude_v2_5!G125,recreation_claude_v2_4!G125,recreation_claude_v2_3!G125,recreation_claude_v2_2!G125,recreation_claude_v2_1!G125)/COUNT(recreation_claude_v2_5!G125,recreation_claude_v2_4!G125,recreation_claude_v2_3!G125,recreation_claude_v2_2!G125,recreation_claude_v2_1!G125),0),"NA")</f>
        <v>1</v>
      </c>
      <c r="H125">
        <f>IF($E125 = 1,ROUND(SUM(recreation_claude_v2_5!I125,recreation_claude_v2_4!I125,recreation_claude_v2_3!I125,recreation_claude_v2_2!I125,recreation_claude_v2_1!I125)/COUNT(recreation_claude_v2_5!I125,recreation_claude_v2_4!I125,recreation_claude_v2_3!I125,recreation_claude_v2_2!I125,recreation_claude_v2_1!I125),0),"NA")</f>
        <v>1</v>
      </c>
      <c r="I125">
        <f>IF($F125 = 1,ROUND(SUM(recreation_claude_v2_5!J125,recreation_claude_v2_4!J125,recreation_claude_v2_3!J125,recreation_claude_v2_2!J125,recreation_claude_v2_1!J125)/COUNT(recreation_claude_v2_5!J125,recreation_claude_v2_4!J125,recreation_claude_v2_3!J125,recreation_claude_v2_2!J125,recreation_claude_v2_1!J125),0),"NA")</f>
        <v>1</v>
      </c>
      <c r="J125">
        <f>IF($E125 = 1,ROUND(SUM(recreation_claude_v2_5!K125,recreation_claude_v2_4!K125,recreation_claude_v2_3!K125,recreation_claude_v2_2!K125,recreation_claude_v2_1!K125)/COUNT(recreation_claude_v2_5!K125,recreation_claude_v2_4!K125,recreation_claude_v2_3!K125,recreation_claude_v2_2!K125,recreation_claude_v2_1!K125),0),"NA")</f>
        <v>1</v>
      </c>
      <c r="K125">
        <f>IF(AND($F125 = 1, $G125 = 1),ROUND(SUM(recreation_claude_v2_5!L125,recreation_claude_v2_4!L125,recreation_claude_v2_3!L125,recreation_claude_v2_2!L125,recreation_claude_v2_1!L125)/COUNT(recreation_claude_v2_5!L125,recreation_claude_v2_4!L125,recreation_claude_v2_3!L125,recreation_claude_v2_2!L125,recreation_claude_v2_1!L125),0),"NA")</f>
        <v>1</v>
      </c>
      <c r="L125">
        <f>IF($E125 = 1,ROUND(SUM(recreation_claude_v2_5!L125,recreation_claude_v2_4!L125,recreation_claude_v2_3!L125,recreation_claude_v2_2!L125,recreation_claude_v2_1!L125)/COUNT(recreation_claude_v2_5!L125,recreation_claude_v2_4!L125,recreation_claude_v2_3!L125,recreation_claude_v2_2!L125,recreation_claude_v2_1!L125),0),"NA")</f>
        <v>1</v>
      </c>
      <c r="M125">
        <f>IF($E125 = 1,ROUND(SUM(recreation_claude_v2_5!M125,recreation_claude_v2_4!M125,recreation_claude_v2_3!M125,recreation_claude_v2_2!M125,recreation_claude_v2_1!M125)/COUNT(recreation_claude_v2_5!M125,recreation_claude_v2_4!M125,recreation_claude_v2_3!M125,recreation_claude_v2_2!M125,recreation_claude_v2_1!M125),0),"NA")</f>
        <v>1</v>
      </c>
      <c r="N125">
        <f>IF($E125 = 1,ROUND(SUM(recreation_claude_v2_5!N125,recreation_claude_v2_4!N125,recreation_claude_v2_3!N125,recreation_claude_v2_2!N125,recreation_claude_v2_1!N125)/COUNT(recreation_claude_v2_5!N125,recreation_claude_v2_4!N125,recreation_claude_v2_3!N125,recreation_claude_v2_2!N125,recreation_claude_v2_1!N125),0),"NA")</f>
        <v>1</v>
      </c>
      <c r="O125">
        <f>IF($E125 = 1,ROUND(SUM(recreation_claude_v2_5!O125,recreation_claude_v2_4!O125,recreation_claude_v2_3!O125,recreation_claude_v2_2!O125,recreation_claude_v2_1!O125)/COUNT(recreation_claude_v2_5!O125,recreation_claude_v2_4!O125,recreation_claude_v2_3!O125,recreation_claude_v2_2!O125,recreation_claude_v2_1!O125),0),"NA")</f>
        <v>1</v>
      </c>
    </row>
    <row r="126" spans="1:15" x14ac:dyDescent="0.25">
      <c r="A126" t="s">
        <v>140</v>
      </c>
      <c r="B126" t="s">
        <v>33</v>
      </c>
      <c r="C126">
        <v>0</v>
      </c>
      <c r="D126">
        <v>6.4310729503631592</v>
      </c>
      <c r="E126">
        <f>ROUND(SUM(recreation_claude_v2_5!E126,recreation_claude_v2_4!E126,recreation_claude_v2_3!E126,recreation_claude_v2_2!E126,recreation_claude_v2_1!E126)/COUNT(recreation_claude_v2_5!E126,recreation_claude_v2_4!E126,recreation_claude_v2_3!E126,recreation_claude_v2_2!E126,recreation_claude_v2_1!E126),0)</f>
        <v>1</v>
      </c>
      <c r="F126">
        <f>IF($E126 = 1,ROUND(SUM(recreation_claude_v2_5!F126,recreation_claude_v2_4!F126,recreation_claude_v2_3!F126,recreation_claude_v2_2!F126,recreation_claude_v2_1!F126)/COUNT(recreation_claude_v2_5!F126,recreation_claude_v2_4!F126,recreation_claude_v2_3!F126,recreation_claude_v2_2!F126,recreation_claude_v2_1!F126),0),"NA")</f>
        <v>1</v>
      </c>
      <c r="G126">
        <f>IF($E126 = 1,ROUND(SUM(recreation_claude_v2_5!G126,recreation_claude_v2_4!G126,recreation_claude_v2_3!G126,recreation_claude_v2_2!G126,recreation_claude_v2_1!G126)/COUNT(recreation_claude_v2_5!G126,recreation_claude_v2_4!G126,recreation_claude_v2_3!G126,recreation_claude_v2_2!G126,recreation_claude_v2_1!G126),0),"NA")</f>
        <v>1</v>
      </c>
      <c r="H126">
        <f>IF($E126 = 1,ROUND(SUM(recreation_claude_v2_5!I126,recreation_claude_v2_4!I126,recreation_claude_v2_3!I126,recreation_claude_v2_2!I126,recreation_claude_v2_1!I126)/COUNT(recreation_claude_v2_5!I126,recreation_claude_v2_4!I126,recreation_claude_v2_3!I126,recreation_claude_v2_2!I126,recreation_claude_v2_1!I126),0),"NA")</f>
        <v>1</v>
      </c>
      <c r="I126">
        <f>IF($F126 = 1,ROUND(SUM(recreation_claude_v2_5!J126,recreation_claude_v2_4!J126,recreation_claude_v2_3!J126,recreation_claude_v2_2!J126,recreation_claude_v2_1!J126)/COUNT(recreation_claude_v2_5!J126,recreation_claude_v2_4!J126,recreation_claude_v2_3!J126,recreation_claude_v2_2!J126,recreation_claude_v2_1!J126),0),"NA")</f>
        <v>1</v>
      </c>
      <c r="J126">
        <f>IF($E126 = 1,ROUND(SUM(recreation_claude_v2_5!K126,recreation_claude_v2_4!K126,recreation_claude_v2_3!K126,recreation_claude_v2_2!K126,recreation_claude_v2_1!K126)/COUNT(recreation_claude_v2_5!K126,recreation_claude_v2_4!K126,recreation_claude_v2_3!K126,recreation_claude_v2_2!K126,recreation_claude_v2_1!K126),0),"NA")</f>
        <v>1</v>
      </c>
      <c r="K126">
        <f>IF(AND($F126 = 1, $G126 = 1),ROUND(SUM(recreation_claude_v2_5!L126,recreation_claude_v2_4!L126,recreation_claude_v2_3!L126,recreation_claude_v2_2!L126,recreation_claude_v2_1!L126)/COUNT(recreation_claude_v2_5!L126,recreation_claude_v2_4!L126,recreation_claude_v2_3!L126,recreation_claude_v2_2!L126,recreation_claude_v2_1!L126),0),"NA")</f>
        <v>1</v>
      </c>
      <c r="L126">
        <f>IF($E126 = 1,ROUND(SUM(recreation_claude_v2_5!L126,recreation_claude_v2_4!L126,recreation_claude_v2_3!L126,recreation_claude_v2_2!L126,recreation_claude_v2_1!L126)/COUNT(recreation_claude_v2_5!L126,recreation_claude_v2_4!L126,recreation_claude_v2_3!L126,recreation_claude_v2_2!L126,recreation_claude_v2_1!L126),0),"NA")</f>
        <v>1</v>
      </c>
      <c r="M126">
        <f>IF($E126 = 1,ROUND(SUM(recreation_claude_v2_5!M126,recreation_claude_v2_4!M126,recreation_claude_v2_3!M126,recreation_claude_v2_2!M126,recreation_claude_v2_1!M126)/COUNT(recreation_claude_v2_5!M126,recreation_claude_v2_4!M126,recreation_claude_v2_3!M126,recreation_claude_v2_2!M126,recreation_claude_v2_1!M126),0),"NA")</f>
        <v>1</v>
      </c>
      <c r="N126">
        <f>IF($E126 = 1,ROUND(SUM(recreation_claude_v2_5!N126,recreation_claude_v2_4!N126,recreation_claude_v2_3!N126,recreation_claude_v2_2!N126,recreation_claude_v2_1!N126)/COUNT(recreation_claude_v2_5!N126,recreation_claude_v2_4!N126,recreation_claude_v2_3!N126,recreation_claude_v2_2!N126,recreation_claude_v2_1!N126),0),"NA")</f>
        <v>1</v>
      </c>
      <c r="O126">
        <f>IF($E126 = 1,ROUND(SUM(recreation_claude_v2_5!O126,recreation_claude_v2_4!O126,recreation_claude_v2_3!O126,recreation_claude_v2_2!O126,recreation_claude_v2_1!O126)/COUNT(recreation_claude_v2_5!O126,recreation_claude_v2_4!O126,recreation_claude_v2_3!O126,recreation_claude_v2_2!O126,recreation_claude_v2_1!O126),0),"NA")</f>
        <v>1</v>
      </c>
    </row>
    <row r="127" spans="1:15" x14ac:dyDescent="0.25">
      <c r="A127" t="s">
        <v>140</v>
      </c>
      <c r="B127" t="s">
        <v>35</v>
      </c>
      <c r="C127">
        <v>0</v>
      </c>
      <c r="D127">
        <v>3.0713033676147461</v>
      </c>
      <c r="E127">
        <f>ROUND(SUM(recreation_claude_v2_5!E127,recreation_claude_v2_4!E127,recreation_claude_v2_3!E127,recreation_claude_v2_2!E127,recreation_claude_v2_1!E127)/COUNT(recreation_claude_v2_5!E127,recreation_claude_v2_4!E127,recreation_claude_v2_3!E127,recreation_claude_v2_2!E127,recreation_claude_v2_1!E127),0)</f>
        <v>1</v>
      </c>
      <c r="F127">
        <f>IF($E127 = 1,ROUND(SUM(recreation_claude_v2_5!F127,recreation_claude_v2_4!F127,recreation_claude_v2_3!F127,recreation_claude_v2_2!F127,recreation_claude_v2_1!F127)/COUNT(recreation_claude_v2_5!F127,recreation_claude_v2_4!F127,recreation_claude_v2_3!F127,recreation_claude_v2_2!F127,recreation_claude_v2_1!F127),0),"NA")</f>
        <v>1</v>
      </c>
      <c r="G127">
        <f>IF($E127 = 1,ROUND(SUM(recreation_claude_v2_5!G127,recreation_claude_v2_4!G127,recreation_claude_v2_3!G127,recreation_claude_v2_2!G127,recreation_claude_v2_1!G127)/COUNT(recreation_claude_v2_5!G127,recreation_claude_v2_4!G127,recreation_claude_v2_3!G127,recreation_claude_v2_2!G127,recreation_claude_v2_1!G127),0),"NA")</f>
        <v>1</v>
      </c>
      <c r="H127">
        <f>IF($E127 = 1,ROUND(SUM(recreation_claude_v2_5!I127,recreation_claude_v2_4!I127,recreation_claude_v2_3!I127,recreation_claude_v2_2!I127,recreation_claude_v2_1!I127)/COUNT(recreation_claude_v2_5!I127,recreation_claude_v2_4!I127,recreation_claude_v2_3!I127,recreation_claude_v2_2!I127,recreation_claude_v2_1!I127),0),"NA")</f>
        <v>1</v>
      </c>
      <c r="I127">
        <f>IF($F127 = 1,ROUND(SUM(recreation_claude_v2_5!J127,recreation_claude_v2_4!J127,recreation_claude_v2_3!J127,recreation_claude_v2_2!J127,recreation_claude_v2_1!J127)/COUNT(recreation_claude_v2_5!J127,recreation_claude_v2_4!J127,recreation_claude_v2_3!J127,recreation_claude_v2_2!J127,recreation_claude_v2_1!J127),0),"NA")</f>
        <v>1</v>
      </c>
      <c r="J127">
        <f>IF($E127 = 1,ROUND(SUM(recreation_claude_v2_5!K127,recreation_claude_v2_4!K127,recreation_claude_v2_3!K127,recreation_claude_v2_2!K127,recreation_claude_v2_1!K127)/COUNT(recreation_claude_v2_5!K127,recreation_claude_v2_4!K127,recreation_claude_v2_3!K127,recreation_claude_v2_2!K127,recreation_claude_v2_1!K127),0),"NA")</f>
        <v>1</v>
      </c>
      <c r="K127">
        <f>IF(AND($F127 = 1, $G127 = 1),ROUND(SUM(recreation_claude_v2_5!L127,recreation_claude_v2_4!L127,recreation_claude_v2_3!L127,recreation_claude_v2_2!L127,recreation_claude_v2_1!L127)/COUNT(recreation_claude_v2_5!L127,recreation_claude_v2_4!L127,recreation_claude_v2_3!L127,recreation_claude_v2_2!L127,recreation_claude_v2_1!L127),0),"NA")</f>
        <v>1</v>
      </c>
      <c r="L127">
        <f>IF($E127 = 1,ROUND(SUM(recreation_claude_v2_5!L127,recreation_claude_v2_4!L127,recreation_claude_v2_3!L127,recreation_claude_v2_2!L127,recreation_claude_v2_1!L127)/COUNT(recreation_claude_v2_5!L127,recreation_claude_v2_4!L127,recreation_claude_v2_3!L127,recreation_claude_v2_2!L127,recreation_claude_v2_1!L127),0),"NA")</f>
        <v>1</v>
      </c>
      <c r="M127">
        <f>IF($E127 = 1,ROUND(SUM(recreation_claude_v2_5!M127,recreation_claude_v2_4!M127,recreation_claude_v2_3!M127,recreation_claude_v2_2!M127,recreation_claude_v2_1!M127)/COUNT(recreation_claude_v2_5!M127,recreation_claude_v2_4!M127,recreation_claude_v2_3!M127,recreation_claude_v2_2!M127,recreation_claude_v2_1!M127),0),"NA")</f>
        <v>1</v>
      </c>
      <c r="N127">
        <f>IF($E127 = 1,ROUND(SUM(recreation_claude_v2_5!N127,recreation_claude_v2_4!N127,recreation_claude_v2_3!N127,recreation_claude_v2_2!N127,recreation_claude_v2_1!N127)/COUNT(recreation_claude_v2_5!N127,recreation_claude_v2_4!N127,recreation_claude_v2_3!N127,recreation_claude_v2_2!N127,recreation_claude_v2_1!N127),0),"NA")</f>
        <v>1</v>
      </c>
      <c r="O127">
        <f>IF($E127 = 1,ROUND(SUM(recreation_claude_v2_5!O127,recreation_claude_v2_4!O127,recreation_claude_v2_3!O127,recreation_claude_v2_2!O127,recreation_claude_v2_1!O127)/COUNT(recreation_claude_v2_5!O127,recreation_claude_v2_4!O127,recreation_claude_v2_3!O127,recreation_claude_v2_2!O127,recreation_claude_v2_1!O127),0),"NA")</f>
        <v>1</v>
      </c>
    </row>
    <row r="128" spans="1:15" x14ac:dyDescent="0.25">
      <c r="A128" t="s">
        <v>140</v>
      </c>
      <c r="B128" t="s">
        <v>36</v>
      </c>
      <c r="C128">
        <v>0</v>
      </c>
      <c r="D128">
        <v>10.02225399017334</v>
      </c>
      <c r="E128">
        <f>ROUND(SUM(recreation_claude_v2_5!E128,recreation_claude_v2_4!E128,recreation_claude_v2_3!E128,recreation_claude_v2_2!E128,recreation_claude_v2_1!E128)/COUNT(recreation_claude_v2_5!E128,recreation_claude_v2_4!E128,recreation_claude_v2_3!E128,recreation_claude_v2_2!E128,recreation_claude_v2_1!E128),0)</f>
        <v>1</v>
      </c>
      <c r="F128">
        <f>IF($E128 = 1,ROUND(SUM(recreation_claude_v2_5!F128,recreation_claude_v2_4!F128,recreation_claude_v2_3!F128,recreation_claude_v2_2!F128,recreation_claude_v2_1!F128)/COUNT(recreation_claude_v2_5!F128,recreation_claude_v2_4!F128,recreation_claude_v2_3!F128,recreation_claude_v2_2!F128,recreation_claude_v2_1!F128),0),"NA")</f>
        <v>1</v>
      </c>
      <c r="G128">
        <f>IF($E128 = 1,ROUND(SUM(recreation_claude_v2_5!G128,recreation_claude_v2_4!G128,recreation_claude_v2_3!G128,recreation_claude_v2_2!G128,recreation_claude_v2_1!G128)/COUNT(recreation_claude_v2_5!G128,recreation_claude_v2_4!G128,recreation_claude_v2_3!G128,recreation_claude_v2_2!G128,recreation_claude_v2_1!G128),0),"NA")</f>
        <v>1</v>
      </c>
      <c r="H128">
        <f>IF($E128 = 1,ROUND(SUM(recreation_claude_v2_5!I128,recreation_claude_v2_4!I128,recreation_claude_v2_3!I128,recreation_claude_v2_2!I128,recreation_claude_v2_1!I128)/COUNT(recreation_claude_v2_5!I128,recreation_claude_v2_4!I128,recreation_claude_v2_3!I128,recreation_claude_v2_2!I128,recreation_claude_v2_1!I128),0),"NA")</f>
        <v>1</v>
      </c>
      <c r="I128">
        <f>IF($F128 = 1,ROUND(SUM(recreation_claude_v2_5!J128,recreation_claude_v2_4!J128,recreation_claude_v2_3!J128,recreation_claude_v2_2!J128,recreation_claude_v2_1!J128)/COUNT(recreation_claude_v2_5!J128,recreation_claude_v2_4!J128,recreation_claude_v2_3!J128,recreation_claude_v2_2!J128,recreation_claude_v2_1!J128),0),"NA")</f>
        <v>1</v>
      </c>
      <c r="J128">
        <f>IF($E128 = 1,ROUND(SUM(recreation_claude_v2_5!K128,recreation_claude_v2_4!K128,recreation_claude_v2_3!K128,recreation_claude_v2_2!K128,recreation_claude_v2_1!K128)/COUNT(recreation_claude_v2_5!K128,recreation_claude_v2_4!K128,recreation_claude_v2_3!K128,recreation_claude_v2_2!K128,recreation_claude_v2_1!K128),0),"NA")</f>
        <v>1</v>
      </c>
      <c r="K128">
        <f>IF(AND($F128 = 1, $G128 = 1),ROUND(SUM(recreation_claude_v2_5!L128,recreation_claude_v2_4!L128,recreation_claude_v2_3!L128,recreation_claude_v2_2!L128,recreation_claude_v2_1!L128)/COUNT(recreation_claude_v2_5!L128,recreation_claude_v2_4!L128,recreation_claude_v2_3!L128,recreation_claude_v2_2!L128,recreation_claude_v2_1!L128),0),"NA")</f>
        <v>1</v>
      </c>
      <c r="L128">
        <f>IF($E128 = 1,ROUND(SUM(recreation_claude_v2_5!L128,recreation_claude_v2_4!L128,recreation_claude_v2_3!L128,recreation_claude_v2_2!L128,recreation_claude_v2_1!L128)/COUNT(recreation_claude_v2_5!L128,recreation_claude_v2_4!L128,recreation_claude_v2_3!L128,recreation_claude_v2_2!L128,recreation_claude_v2_1!L128),0),"NA")</f>
        <v>1</v>
      </c>
      <c r="M128">
        <f>IF($E128 = 1,ROUND(SUM(recreation_claude_v2_5!M128,recreation_claude_v2_4!M128,recreation_claude_v2_3!M128,recreation_claude_v2_2!M128,recreation_claude_v2_1!M128)/COUNT(recreation_claude_v2_5!M128,recreation_claude_v2_4!M128,recreation_claude_v2_3!M128,recreation_claude_v2_2!M128,recreation_claude_v2_1!M128),0),"NA")</f>
        <v>1</v>
      </c>
      <c r="N128">
        <f>IF($E128 = 1,ROUND(SUM(recreation_claude_v2_5!N128,recreation_claude_v2_4!N128,recreation_claude_v2_3!N128,recreation_claude_v2_2!N128,recreation_claude_v2_1!N128)/COUNT(recreation_claude_v2_5!N128,recreation_claude_v2_4!N128,recreation_claude_v2_3!N128,recreation_claude_v2_2!N128,recreation_claude_v2_1!N128),0),"NA")</f>
        <v>1</v>
      </c>
      <c r="O128">
        <f>IF($E128 = 1,ROUND(SUM(recreation_claude_v2_5!O128,recreation_claude_v2_4!O128,recreation_claude_v2_3!O128,recreation_claude_v2_2!O128,recreation_claude_v2_1!O128)/COUNT(recreation_claude_v2_5!O128,recreation_claude_v2_4!O128,recreation_claude_v2_3!O128,recreation_claude_v2_2!O128,recreation_claude_v2_1!O128),0),"NA")</f>
        <v>1</v>
      </c>
    </row>
    <row r="129" spans="1:15" x14ac:dyDescent="0.25">
      <c r="A129" t="s">
        <v>140</v>
      </c>
      <c r="B129" t="s">
        <v>38</v>
      </c>
      <c r="C129">
        <v>0</v>
      </c>
      <c r="D129">
        <v>2.942552804946899</v>
      </c>
      <c r="E129">
        <f>ROUND(SUM(recreation_claude_v2_5!E129,recreation_claude_v2_4!E129,recreation_claude_v2_3!E129,recreation_claude_v2_2!E129,recreation_claude_v2_1!E129)/COUNT(recreation_claude_v2_5!E129,recreation_claude_v2_4!E129,recreation_claude_v2_3!E129,recreation_claude_v2_2!E129,recreation_claude_v2_1!E129),0)</f>
        <v>1</v>
      </c>
      <c r="F129">
        <f>IF($E129 = 1,ROUND(SUM(recreation_claude_v2_5!F129,recreation_claude_v2_4!F129,recreation_claude_v2_3!F129,recreation_claude_v2_2!F129,recreation_claude_v2_1!F129)/COUNT(recreation_claude_v2_5!F129,recreation_claude_v2_4!F129,recreation_claude_v2_3!F129,recreation_claude_v2_2!F129,recreation_claude_v2_1!F129),0),"NA")</f>
        <v>1</v>
      </c>
      <c r="G129">
        <f>IF($E129 = 1,ROUND(SUM(recreation_claude_v2_5!G129,recreation_claude_v2_4!G129,recreation_claude_v2_3!G129,recreation_claude_v2_2!G129,recreation_claude_v2_1!G129)/COUNT(recreation_claude_v2_5!G129,recreation_claude_v2_4!G129,recreation_claude_v2_3!G129,recreation_claude_v2_2!G129,recreation_claude_v2_1!G129),0),"NA")</f>
        <v>1</v>
      </c>
      <c r="H129">
        <f>IF($E129 = 1,ROUND(SUM(recreation_claude_v2_5!I129,recreation_claude_v2_4!I129,recreation_claude_v2_3!I129,recreation_claude_v2_2!I129,recreation_claude_v2_1!I129)/COUNT(recreation_claude_v2_5!I129,recreation_claude_v2_4!I129,recreation_claude_v2_3!I129,recreation_claude_v2_2!I129,recreation_claude_v2_1!I129),0),"NA")</f>
        <v>1</v>
      </c>
      <c r="I129">
        <f>IF($F129 = 1,ROUND(SUM(recreation_claude_v2_5!J129,recreation_claude_v2_4!J129,recreation_claude_v2_3!J129,recreation_claude_v2_2!J129,recreation_claude_v2_1!J129)/COUNT(recreation_claude_v2_5!J129,recreation_claude_v2_4!J129,recreation_claude_v2_3!J129,recreation_claude_v2_2!J129,recreation_claude_v2_1!J129),0),"NA")</f>
        <v>1</v>
      </c>
      <c r="J129">
        <f>IF($E129 = 1,ROUND(SUM(recreation_claude_v2_5!K129,recreation_claude_v2_4!K129,recreation_claude_v2_3!K129,recreation_claude_v2_2!K129,recreation_claude_v2_1!K129)/COUNT(recreation_claude_v2_5!K129,recreation_claude_v2_4!K129,recreation_claude_v2_3!K129,recreation_claude_v2_2!K129,recreation_claude_v2_1!K129),0),"NA")</f>
        <v>1</v>
      </c>
      <c r="K129">
        <f>IF(AND($F129 = 1, $G129 = 1),ROUND(SUM(recreation_claude_v2_5!L129,recreation_claude_v2_4!L129,recreation_claude_v2_3!L129,recreation_claude_v2_2!L129,recreation_claude_v2_1!L129)/COUNT(recreation_claude_v2_5!L129,recreation_claude_v2_4!L129,recreation_claude_v2_3!L129,recreation_claude_v2_2!L129,recreation_claude_v2_1!L129),0),"NA")</f>
        <v>1</v>
      </c>
      <c r="L129">
        <f>IF($E129 = 1,ROUND(SUM(recreation_claude_v2_5!L129,recreation_claude_v2_4!L129,recreation_claude_v2_3!L129,recreation_claude_v2_2!L129,recreation_claude_v2_1!L129)/COUNT(recreation_claude_v2_5!L129,recreation_claude_v2_4!L129,recreation_claude_v2_3!L129,recreation_claude_v2_2!L129,recreation_claude_v2_1!L129),0),"NA")</f>
        <v>1</v>
      </c>
      <c r="M129">
        <f>IF($E129 = 1,ROUND(SUM(recreation_claude_v2_5!M129,recreation_claude_v2_4!M129,recreation_claude_v2_3!M129,recreation_claude_v2_2!M129,recreation_claude_v2_1!M129)/COUNT(recreation_claude_v2_5!M129,recreation_claude_v2_4!M129,recreation_claude_v2_3!M129,recreation_claude_v2_2!M129,recreation_claude_v2_1!M129),0),"NA")</f>
        <v>1</v>
      </c>
      <c r="N129">
        <f>IF($E129 = 1,ROUND(SUM(recreation_claude_v2_5!N129,recreation_claude_v2_4!N129,recreation_claude_v2_3!N129,recreation_claude_v2_2!N129,recreation_claude_v2_1!N129)/COUNT(recreation_claude_v2_5!N129,recreation_claude_v2_4!N129,recreation_claude_v2_3!N129,recreation_claude_v2_2!N129,recreation_claude_v2_1!N129),0),"NA")</f>
        <v>1</v>
      </c>
      <c r="O129">
        <f>IF($E129 = 1,ROUND(SUM(recreation_claude_v2_5!O129,recreation_claude_v2_4!O129,recreation_claude_v2_3!O129,recreation_claude_v2_2!O129,recreation_claude_v2_1!O129)/COUNT(recreation_claude_v2_5!O129,recreation_claude_v2_4!O129,recreation_claude_v2_3!O129,recreation_claude_v2_2!O129,recreation_claude_v2_1!O129),0),"NA")</f>
        <v>1</v>
      </c>
    </row>
    <row r="130" spans="1:15" x14ac:dyDescent="0.25">
      <c r="A130" t="s">
        <v>140</v>
      </c>
      <c r="B130" t="s">
        <v>39</v>
      </c>
      <c r="C130">
        <v>0</v>
      </c>
      <c r="D130">
        <v>10.743939638137819</v>
      </c>
      <c r="E130">
        <f>ROUND(SUM(recreation_claude_v2_5!E130,recreation_claude_v2_4!E130,recreation_claude_v2_3!E130,recreation_claude_v2_2!E130,recreation_claude_v2_1!E130)/COUNT(recreation_claude_v2_5!E130,recreation_claude_v2_4!E130,recreation_claude_v2_3!E130,recreation_claude_v2_2!E130,recreation_claude_v2_1!E130),0)</f>
        <v>1</v>
      </c>
      <c r="F130">
        <f>IF($E130 = 1,ROUND(SUM(recreation_claude_v2_5!F130,recreation_claude_v2_4!F130,recreation_claude_v2_3!F130,recreation_claude_v2_2!F130,recreation_claude_v2_1!F130)/COUNT(recreation_claude_v2_5!F130,recreation_claude_v2_4!F130,recreation_claude_v2_3!F130,recreation_claude_v2_2!F130,recreation_claude_v2_1!F130),0),"NA")</f>
        <v>1</v>
      </c>
      <c r="G130">
        <f>IF($E130 = 1,ROUND(SUM(recreation_claude_v2_5!G130,recreation_claude_v2_4!G130,recreation_claude_v2_3!G130,recreation_claude_v2_2!G130,recreation_claude_v2_1!G130)/COUNT(recreation_claude_v2_5!G130,recreation_claude_v2_4!G130,recreation_claude_v2_3!G130,recreation_claude_v2_2!G130,recreation_claude_v2_1!G130),0),"NA")</f>
        <v>1</v>
      </c>
      <c r="H130">
        <f>IF($E130 = 1,ROUND(SUM(recreation_claude_v2_5!I130,recreation_claude_v2_4!I130,recreation_claude_v2_3!I130,recreation_claude_v2_2!I130,recreation_claude_v2_1!I130)/COUNT(recreation_claude_v2_5!I130,recreation_claude_v2_4!I130,recreation_claude_v2_3!I130,recreation_claude_v2_2!I130,recreation_claude_v2_1!I130),0),"NA")</f>
        <v>1</v>
      </c>
      <c r="I130">
        <f>IF($F130 = 1,ROUND(SUM(recreation_claude_v2_5!J130,recreation_claude_v2_4!J130,recreation_claude_v2_3!J130,recreation_claude_v2_2!J130,recreation_claude_v2_1!J130)/COUNT(recreation_claude_v2_5!J130,recreation_claude_v2_4!J130,recreation_claude_v2_3!J130,recreation_claude_v2_2!J130,recreation_claude_v2_1!J130),0),"NA")</f>
        <v>1</v>
      </c>
      <c r="J130">
        <f>IF($E130 = 1,ROUND(SUM(recreation_claude_v2_5!K130,recreation_claude_v2_4!K130,recreation_claude_v2_3!K130,recreation_claude_v2_2!K130,recreation_claude_v2_1!K130)/COUNT(recreation_claude_v2_5!K130,recreation_claude_v2_4!K130,recreation_claude_v2_3!K130,recreation_claude_v2_2!K130,recreation_claude_v2_1!K130),0),"NA")</f>
        <v>1</v>
      </c>
      <c r="K130">
        <f>IF(AND($F130 = 1, $G130 = 1),ROUND(SUM(recreation_claude_v2_5!L130,recreation_claude_v2_4!L130,recreation_claude_v2_3!L130,recreation_claude_v2_2!L130,recreation_claude_v2_1!L130)/COUNT(recreation_claude_v2_5!L130,recreation_claude_v2_4!L130,recreation_claude_v2_3!L130,recreation_claude_v2_2!L130,recreation_claude_v2_1!L130),0),"NA")</f>
        <v>1</v>
      </c>
      <c r="L130">
        <f>IF($E130 = 1,ROUND(SUM(recreation_claude_v2_5!L130,recreation_claude_v2_4!L130,recreation_claude_v2_3!L130,recreation_claude_v2_2!L130,recreation_claude_v2_1!L130)/COUNT(recreation_claude_v2_5!L130,recreation_claude_v2_4!L130,recreation_claude_v2_3!L130,recreation_claude_v2_2!L130,recreation_claude_v2_1!L130),0),"NA")</f>
        <v>1</v>
      </c>
      <c r="M130">
        <f>IF($E130 = 1,ROUND(SUM(recreation_claude_v2_5!M130,recreation_claude_v2_4!M130,recreation_claude_v2_3!M130,recreation_claude_v2_2!M130,recreation_claude_v2_1!M130)/COUNT(recreation_claude_v2_5!M130,recreation_claude_v2_4!M130,recreation_claude_v2_3!M130,recreation_claude_v2_2!M130,recreation_claude_v2_1!M130),0),"NA")</f>
        <v>1</v>
      </c>
      <c r="N130">
        <f>IF($E130 = 1,ROUND(SUM(recreation_claude_v2_5!N130,recreation_claude_v2_4!N130,recreation_claude_v2_3!N130,recreation_claude_v2_2!N130,recreation_claude_v2_1!N130)/COUNT(recreation_claude_v2_5!N130,recreation_claude_v2_4!N130,recreation_claude_v2_3!N130,recreation_claude_v2_2!N130,recreation_claude_v2_1!N130),0),"NA")</f>
        <v>1</v>
      </c>
      <c r="O130">
        <f>IF($E130 = 1,ROUND(SUM(recreation_claude_v2_5!O130,recreation_claude_v2_4!O130,recreation_claude_v2_3!O130,recreation_claude_v2_2!O130,recreation_claude_v2_1!O130)/COUNT(recreation_claude_v2_5!O130,recreation_claude_v2_4!O130,recreation_claude_v2_3!O130,recreation_claude_v2_2!O130,recreation_claude_v2_1!O130),0),"NA")</f>
        <v>1</v>
      </c>
    </row>
    <row r="131" spans="1:15" x14ac:dyDescent="0.25">
      <c r="A131" t="s">
        <v>140</v>
      </c>
      <c r="B131" t="s">
        <v>40</v>
      </c>
      <c r="C131">
        <v>0</v>
      </c>
      <c r="D131">
        <v>2.848035573959351</v>
      </c>
      <c r="E131">
        <f>ROUND(SUM(recreation_claude_v2_5!E131,recreation_claude_v2_4!E131,recreation_claude_v2_3!E131,recreation_claude_v2_2!E131,recreation_claude_v2_1!E131)/COUNT(recreation_claude_v2_5!E131,recreation_claude_v2_4!E131,recreation_claude_v2_3!E131,recreation_claude_v2_2!E131,recreation_claude_v2_1!E131),0)</f>
        <v>1</v>
      </c>
      <c r="F131">
        <f>IF($E131 = 1,ROUND(SUM(recreation_claude_v2_5!F131,recreation_claude_v2_4!F131,recreation_claude_v2_3!F131,recreation_claude_v2_2!F131,recreation_claude_v2_1!F131)/COUNT(recreation_claude_v2_5!F131,recreation_claude_v2_4!F131,recreation_claude_v2_3!F131,recreation_claude_v2_2!F131,recreation_claude_v2_1!F131),0),"NA")</f>
        <v>1</v>
      </c>
      <c r="G131">
        <f>IF($E131 = 1,ROUND(SUM(recreation_claude_v2_5!G131,recreation_claude_v2_4!G131,recreation_claude_v2_3!G131,recreation_claude_v2_2!G131,recreation_claude_v2_1!G131)/COUNT(recreation_claude_v2_5!G131,recreation_claude_v2_4!G131,recreation_claude_v2_3!G131,recreation_claude_v2_2!G131,recreation_claude_v2_1!G131),0),"NA")</f>
        <v>1</v>
      </c>
      <c r="H131">
        <f>IF($E131 = 1,ROUND(SUM(recreation_claude_v2_5!I131,recreation_claude_v2_4!I131,recreation_claude_v2_3!I131,recreation_claude_v2_2!I131,recreation_claude_v2_1!I131)/COUNT(recreation_claude_v2_5!I131,recreation_claude_v2_4!I131,recreation_claude_v2_3!I131,recreation_claude_v2_2!I131,recreation_claude_v2_1!I131),0),"NA")</f>
        <v>1</v>
      </c>
      <c r="I131">
        <f>IF($F131 = 1,ROUND(SUM(recreation_claude_v2_5!J131,recreation_claude_v2_4!J131,recreation_claude_v2_3!J131,recreation_claude_v2_2!J131,recreation_claude_v2_1!J131)/COUNT(recreation_claude_v2_5!J131,recreation_claude_v2_4!J131,recreation_claude_v2_3!J131,recreation_claude_v2_2!J131,recreation_claude_v2_1!J131),0),"NA")</f>
        <v>1</v>
      </c>
      <c r="J131">
        <f>IF($E131 = 1,ROUND(SUM(recreation_claude_v2_5!K131,recreation_claude_v2_4!K131,recreation_claude_v2_3!K131,recreation_claude_v2_2!K131,recreation_claude_v2_1!K131)/COUNT(recreation_claude_v2_5!K131,recreation_claude_v2_4!K131,recreation_claude_v2_3!K131,recreation_claude_v2_2!K131,recreation_claude_v2_1!K131),0),"NA")</f>
        <v>1</v>
      </c>
      <c r="K131">
        <f>IF(AND($F131 = 1, $G131 = 1),ROUND(SUM(recreation_claude_v2_5!L131,recreation_claude_v2_4!L131,recreation_claude_v2_3!L131,recreation_claude_v2_2!L131,recreation_claude_v2_1!L131)/COUNT(recreation_claude_v2_5!L131,recreation_claude_v2_4!L131,recreation_claude_v2_3!L131,recreation_claude_v2_2!L131,recreation_claude_v2_1!L131),0),"NA")</f>
        <v>1</v>
      </c>
      <c r="L131">
        <f>IF($E131 = 1,ROUND(SUM(recreation_claude_v2_5!L131,recreation_claude_v2_4!L131,recreation_claude_v2_3!L131,recreation_claude_v2_2!L131,recreation_claude_v2_1!L131)/COUNT(recreation_claude_v2_5!L131,recreation_claude_v2_4!L131,recreation_claude_v2_3!L131,recreation_claude_v2_2!L131,recreation_claude_v2_1!L131),0),"NA")</f>
        <v>1</v>
      </c>
      <c r="M131">
        <f>IF($E131 = 1,ROUND(SUM(recreation_claude_v2_5!M131,recreation_claude_v2_4!M131,recreation_claude_v2_3!M131,recreation_claude_v2_2!M131,recreation_claude_v2_1!M131)/COUNT(recreation_claude_v2_5!M131,recreation_claude_v2_4!M131,recreation_claude_v2_3!M131,recreation_claude_v2_2!M131,recreation_claude_v2_1!M131),0),"NA")</f>
        <v>1</v>
      </c>
      <c r="N131">
        <f>IF($E131 = 1,ROUND(SUM(recreation_claude_v2_5!N131,recreation_claude_v2_4!N131,recreation_claude_v2_3!N131,recreation_claude_v2_2!N131,recreation_claude_v2_1!N131)/COUNT(recreation_claude_v2_5!N131,recreation_claude_v2_4!N131,recreation_claude_v2_3!N131,recreation_claude_v2_2!N131,recreation_claude_v2_1!N131),0),"NA")</f>
        <v>1</v>
      </c>
      <c r="O131">
        <f>IF($E131 = 1,ROUND(SUM(recreation_claude_v2_5!O131,recreation_claude_v2_4!O131,recreation_claude_v2_3!O131,recreation_claude_v2_2!O131,recreation_claude_v2_1!O131)/COUNT(recreation_claude_v2_5!O131,recreation_claude_v2_4!O131,recreation_claude_v2_3!O131,recreation_claude_v2_2!O131,recreation_claude_v2_1!O131),0),"NA")</f>
        <v>1</v>
      </c>
    </row>
    <row r="132" spans="1:15" x14ac:dyDescent="0.25">
      <c r="A132" t="s">
        <v>140</v>
      </c>
      <c r="B132" t="s">
        <v>41</v>
      </c>
      <c r="C132">
        <v>0</v>
      </c>
      <c r="D132">
        <v>10.50787782669067</v>
      </c>
      <c r="E132">
        <f>ROUND(SUM(recreation_claude_v2_5!E132,recreation_claude_v2_4!E132,recreation_claude_v2_3!E132,recreation_claude_v2_2!E132,recreation_claude_v2_1!E132)/COUNT(recreation_claude_v2_5!E132,recreation_claude_v2_4!E132,recreation_claude_v2_3!E132,recreation_claude_v2_2!E132,recreation_claude_v2_1!E132),0)</f>
        <v>1</v>
      </c>
      <c r="F132">
        <f>IF($E132 = 1,ROUND(SUM(recreation_claude_v2_5!F132,recreation_claude_v2_4!F132,recreation_claude_v2_3!F132,recreation_claude_v2_2!F132,recreation_claude_v2_1!F132)/COUNT(recreation_claude_v2_5!F132,recreation_claude_v2_4!F132,recreation_claude_v2_3!F132,recreation_claude_v2_2!F132,recreation_claude_v2_1!F132),0),"NA")</f>
        <v>1</v>
      </c>
      <c r="G132">
        <f>IF($E132 = 1,ROUND(SUM(recreation_claude_v2_5!G132,recreation_claude_v2_4!G132,recreation_claude_v2_3!G132,recreation_claude_v2_2!G132,recreation_claude_v2_1!G132)/COUNT(recreation_claude_v2_5!G132,recreation_claude_v2_4!G132,recreation_claude_v2_3!G132,recreation_claude_v2_2!G132,recreation_claude_v2_1!G132),0),"NA")</f>
        <v>1</v>
      </c>
      <c r="H132">
        <f>IF($E132 = 1,ROUND(SUM(recreation_claude_v2_5!I132,recreation_claude_v2_4!I132,recreation_claude_v2_3!I132,recreation_claude_v2_2!I132,recreation_claude_v2_1!I132)/COUNT(recreation_claude_v2_5!I132,recreation_claude_v2_4!I132,recreation_claude_v2_3!I132,recreation_claude_v2_2!I132,recreation_claude_v2_1!I132),0),"NA")</f>
        <v>1</v>
      </c>
      <c r="I132">
        <f>IF($F132 = 1,ROUND(SUM(recreation_claude_v2_5!J132,recreation_claude_v2_4!J132,recreation_claude_v2_3!J132,recreation_claude_v2_2!J132,recreation_claude_v2_1!J132)/COUNT(recreation_claude_v2_5!J132,recreation_claude_v2_4!J132,recreation_claude_v2_3!J132,recreation_claude_v2_2!J132,recreation_claude_v2_1!J132),0),"NA")</f>
        <v>1</v>
      </c>
      <c r="J132">
        <f>IF($E132 = 1,ROUND(SUM(recreation_claude_v2_5!K132,recreation_claude_v2_4!K132,recreation_claude_v2_3!K132,recreation_claude_v2_2!K132,recreation_claude_v2_1!K132)/COUNT(recreation_claude_v2_5!K132,recreation_claude_v2_4!K132,recreation_claude_v2_3!K132,recreation_claude_v2_2!K132,recreation_claude_v2_1!K132),0),"NA")</f>
        <v>1</v>
      </c>
      <c r="K132">
        <f>IF(AND($F132 = 1, $G132 = 1),ROUND(SUM(recreation_claude_v2_5!L132,recreation_claude_v2_4!L132,recreation_claude_v2_3!L132,recreation_claude_v2_2!L132,recreation_claude_v2_1!L132)/COUNT(recreation_claude_v2_5!L132,recreation_claude_v2_4!L132,recreation_claude_v2_3!L132,recreation_claude_v2_2!L132,recreation_claude_v2_1!L132),0),"NA")</f>
        <v>1</v>
      </c>
      <c r="L132">
        <f>IF($E132 = 1,ROUND(SUM(recreation_claude_v2_5!L132,recreation_claude_v2_4!L132,recreation_claude_v2_3!L132,recreation_claude_v2_2!L132,recreation_claude_v2_1!L132)/COUNT(recreation_claude_v2_5!L132,recreation_claude_v2_4!L132,recreation_claude_v2_3!L132,recreation_claude_v2_2!L132,recreation_claude_v2_1!L132),0),"NA")</f>
        <v>1</v>
      </c>
      <c r="M132">
        <f>IF($E132 = 1,ROUND(SUM(recreation_claude_v2_5!M132,recreation_claude_v2_4!M132,recreation_claude_v2_3!M132,recreation_claude_v2_2!M132,recreation_claude_v2_1!M132)/COUNT(recreation_claude_v2_5!M132,recreation_claude_v2_4!M132,recreation_claude_v2_3!M132,recreation_claude_v2_2!M132,recreation_claude_v2_1!M132),0),"NA")</f>
        <v>1</v>
      </c>
      <c r="N132">
        <f>IF($E132 = 1,ROUND(SUM(recreation_claude_v2_5!N132,recreation_claude_v2_4!N132,recreation_claude_v2_3!N132,recreation_claude_v2_2!N132,recreation_claude_v2_1!N132)/COUNT(recreation_claude_v2_5!N132,recreation_claude_v2_4!N132,recreation_claude_v2_3!N132,recreation_claude_v2_2!N132,recreation_claude_v2_1!N132),0),"NA")</f>
        <v>1</v>
      </c>
      <c r="O132">
        <f>IF($E132 = 1,ROUND(SUM(recreation_claude_v2_5!O132,recreation_claude_v2_4!O132,recreation_claude_v2_3!O132,recreation_claude_v2_2!O132,recreation_claude_v2_1!O132)/COUNT(recreation_claude_v2_5!O132,recreation_claude_v2_4!O132,recreation_claude_v2_3!O132,recreation_claude_v2_2!O132,recreation_claude_v2_1!O132),0),"NA")</f>
        <v>1</v>
      </c>
    </row>
    <row r="133" spans="1:15" x14ac:dyDescent="0.25">
      <c r="A133" t="s">
        <v>140</v>
      </c>
      <c r="B133" t="s">
        <v>43</v>
      </c>
      <c r="C133">
        <v>0</v>
      </c>
      <c r="D133">
        <v>9.9494166374206543</v>
      </c>
      <c r="E133">
        <f>ROUND(SUM(recreation_claude_v2_5!E133,recreation_claude_v2_4!E133,recreation_claude_v2_3!E133,recreation_claude_v2_2!E133,recreation_claude_v2_1!E133)/COUNT(recreation_claude_v2_5!E133,recreation_claude_v2_4!E133,recreation_claude_v2_3!E133,recreation_claude_v2_2!E133,recreation_claude_v2_1!E133),0)</f>
        <v>1</v>
      </c>
      <c r="F133">
        <f>IF($E133 = 1,ROUND(SUM(recreation_claude_v2_5!F133,recreation_claude_v2_4!F133,recreation_claude_v2_3!F133,recreation_claude_v2_2!F133,recreation_claude_v2_1!F133)/COUNT(recreation_claude_v2_5!F133,recreation_claude_v2_4!F133,recreation_claude_v2_3!F133,recreation_claude_v2_2!F133,recreation_claude_v2_1!F133),0),"NA")</f>
        <v>1</v>
      </c>
      <c r="G133">
        <f>IF($E133 = 1,ROUND(SUM(recreation_claude_v2_5!G133,recreation_claude_v2_4!G133,recreation_claude_v2_3!G133,recreation_claude_v2_2!G133,recreation_claude_v2_1!G133)/COUNT(recreation_claude_v2_5!G133,recreation_claude_v2_4!G133,recreation_claude_v2_3!G133,recreation_claude_v2_2!G133,recreation_claude_v2_1!G133),0),"NA")</f>
        <v>1</v>
      </c>
      <c r="H133">
        <f>IF($E133 = 1,ROUND(SUM(recreation_claude_v2_5!I133,recreation_claude_v2_4!I133,recreation_claude_v2_3!I133,recreation_claude_v2_2!I133,recreation_claude_v2_1!I133)/COUNT(recreation_claude_v2_5!I133,recreation_claude_v2_4!I133,recreation_claude_v2_3!I133,recreation_claude_v2_2!I133,recreation_claude_v2_1!I133),0),"NA")</f>
        <v>1</v>
      </c>
      <c r="I133">
        <f>IF($F133 = 1,ROUND(SUM(recreation_claude_v2_5!J133,recreation_claude_v2_4!J133,recreation_claude_v2_3!J133,recreation_claude_v2_2!J133,recreation_claude_v2_1!J133)/COUNT(recreation_claude_v2_5!J133,recreation_claude_v2_4!J133,recreation_claude_v2_3!J133,recreation_claude_v2_2!J133,recreation_claude_v2_1!J133),0),"NA")</f>
        <v>1</v>
      </c>
      <c r="J133">
        <f>IF($E133 = 1,ROUND(SUM(recreation_claude_v2_5!K133,recreation_claude_v2_4!K133,recreation_claude_v2_3!K133,recreation_claude_v2_2!K133,recreation_claude_v2_1!K133)/COUNT(recreation_claude_v2_5!K133,recreation_claude_v2_4!K133,recreation_claude_v2_3!K133,recreation_claude_v2_2!K133,recreation_claude_v2_1!K133),0),"NA")</f>
        <v>1</v>
      </c>
      <c r="K133">
        <f>IF(AND($F133 = 1, $G133 = 1),ROUND(SUM(recreation_claude_v2_5!L133,recreation_claude_v2_4!L133,recreation_claude_v2_3!L133,recreation_claude_v2_2!L133,recreation_claude_v2_1!L133)/COUNT(recreation_claude_v2_5!L133,recreation_claude_v2_4!L133,recreation_claude_v2_3!L133,recreation_claude_v2_2!L133,recreation_claude_v2_1!L133),0),"NA")</f>
        <v>1</v>
      </c>
      <c r="L133">
        <f>IF($E133 = 1,ROUND(SUM(recreation_claude_v2_5!L133,recreation_claude_v2_4!L133,recreation_claude_v2_3!L133,recreation_claude_v2_2!L133,recreation_claude_v2_1!L133)/COUNT(recreation_claude_v2_5!L133,recreation_claude_v2_4!L133,recreation_claude_v2_3!L133,recreation_claude_v2_2!L133,recreation_claude_v2_1!L133),0),"NA")</f>
        <v>1</v>
      </c>
      <c r="M133">
        <f>IF($E133 = 1,ROUND(SUM(recreation_claude_v2_5!M133,recreation_claude_v2_4!M133,recreation_claude_v2_3!M133,recreation_claude_v2_2!M133,recreation_claude_v2_1!M133)/COUNT(recreation_claude_v2_5!M133,recreation_claude_v2_4!M133,recreation_claude_v2_3!M133,recreation_claude_v2_2!M133,recreation_claude_v2_1!M133),0),"NA")</f>
        <v>1</v>
      </c>
      <c r="N133">
        <f>IF($E133 = 1,ROUND(SUM(recreation_claude_v2_5!N133,recreation_claude_v2_4!N133,recreation_claude_v2_3!N133,recreation_claude_v2_2!N133,recreation_claude_v2_1!N133)/COUNT(recreation_claude_v2_5!N133,recreation_claude_v2_4!N133,recreation_claude_v2_3!N133,recreation_claude_v2_2!N133,recreation_claude_v2_1!N133),0),"NA")</f>
        <v>1</v>
      </c>
      <c r="O133">
        <f>IF($E133 = 1,ROUND(SUM(recreation_claude_v2_5!O133,recreation_claude_v2_4!O133,recreation_claude_v2_3!O133,recreation_claude_v2_2!O133,recreation_claude_v2_1!O133)/COUNT(recreation_claude_v2_5!O133,recreation_claude_v2_4!O133,recreation_claude_v2_3!O133,recreation_claude_v2_2!O133,recreation_claude_v2_1!O133),0),"NA")</f>
        <v>1</v>
      </c>
    </row>
    <row r="134" spans="1:15" x14ac:dyDescent="0.25">
      <c r="A134" t="s">
        <v>140</v>
      </c>
      <c r="B134" t="s">
        <v>44</v>
      </c>
      <c r="C134">
        <v>0</v>
      </c>
      <c r="D134">
        <v>6.1055994033813477</v>
      </c>
      <c r="E134">
        <f>ROUND(SUM(recreation_claude_v2_5!E134,recreation_claude_v2_4!E134,recreation_claude_v2_3!E134,recreation_claude_v2_2!E134,recreation_claude_v2_1!E134)/COUNT(recreation_claude_v2_5!E134,recreation_claude_v2_4!E134,recreation_claude_v2_3!E134,recreation_claude_v2_2!E134,recreation_claude_v2_1!E134),0)</f>
        <v>0</v>
      </c>
      <c r="F134" t="str">
        <f>IF($E134 = 1,ROUND(SUM(recreation_claude_v2_5!F134,recreation_claude_v2_4!F134,recreation_claude_v2_3!F134,recreation_claude_v2_2!F134,recreation_claude_v2_1!F134)/COUNT(recreation_claude_v2_5!F134,recreation_claude_v2_4!F134,recreation_claude_v2_3!F134,recreation_claude_v2_2!F134,recreation_claude_v2_1!F134),0),"NA")</f>
        <v>NA</v>
      </c>
      <c r="G134" t="str">
        <f>IF($E134 = 1,ROUND(SUM(recreation_claude_v2_5!G134,recreation_claude_v2_4!G134,recreation_claude_v2_3!G134,recreation_claude_v2_2!G134,recreation_claude_v2_1!G134)/COUNT(recreation_claude_v2_5!G134,recreation_claude_v2_4!G134,recreation_claude_v2_3!G134,recreation_claude_v2_2!G134,recreation_claude_v2_1!G134),0),"NA")</f>
        <v>NA</v>
      </c>
      <c r="H134" t="str">
        <f>IF($E134 = 1,ROUND(SUM(recreation_claude_v2_5!I134,recreation_claude_v2_4!I134,recreation_claude_v2_3!I134,recreation_claude_v2_2!I134,recreation_claude_v2_1!I134)/COUNT(recreation_claude_v2_5!I134,recreation_claude_v2_4!I134,recreation_claude_v2_3!I134,recreation_claude_v2_2!I134,recreation_claude_v2_1!I134),0),"NA")</f>
        <v>NA</v>
      </c>
      <c r="I134" t="str">
        <f>IF($F134 = 1,ROUND(SUM(recreation_claude_v2_5!J134,recreation_claude_v2_4!J134,recreation_claude_v2_3!J134,recreation_claude_v2_2!J134,recreation_claude_v2_1!J134)/COUNT(recreation_claude_v2_5!J134,recreation_claude_v2_4!J134,recreation_claude_v2_3!J134,recreation_claude_v2_2!J134,recreation_claude_v2_1!J134),0),"NA")</f>
        <v>NA</v>
      </c>
      <c r="J134" t="str">
        <f>IF($E134 = 1,ROUND(SUM(recreation_claude_v2_5!K134,recreation_claude_v2_4!K134,recreation_claude_v2_3!K134,recreation_claude_v2_2!K134,recreation_claude_v2_1!K134)/COUNT(recreation_claude_v2_5!K134,recreation_claude_v2_4!K134,recreation_claude_v2_3!K134,recreation_claude_v2_2!K134,recreation_claude_v2_1!K134),0),"NA")</f>
        <v>NA</v>
      </c>
      <c r="K134" t="str">
        <f>IF(AND($F134 = 1, $G134 = 1),ROUND(SUM(recreation_claude_v2_5!L134,recreation_claude_v2_4!L134,recreation_claude_v2_3!L134,recreation_claude_v2_2!L134,recreation_claude_v2_1!L134)/COUNT(recreation_claude_v2_5!L134,recreation_claude_v2_4!L134,recreation_claude_v2_3!L134,recreation_claude_v2_2!L134,recreation_claude_v2_1!L134),0),"NA")</f>
        <v>NA</v>
      </c>
      <c r="L134" t="str">
        <f>IF($E134 = 1,ROUND(SUM(recreation_claude_v2_5!L134,recreation_claude_v2_4!L134,recreation_claude_v2_3!L134,recreation_claude_v2_2!L134,recreation_claude_v2_1!L134)/COUNT(recreation_claude_v2_5!L134,recreation_claude_v2_4!L134,recreation_claude_v2_3!L134,recreation_claude_v2_2!L134,recreation_claude_v2_1!L134),0),"NA")</f>
        <v>NA</v>
      </c>
      <c r="M134" t="str">
        <f>IF($E134 = 1,ROUND(SUM(recreation_claude_v2_5!M134,recreation_claude_v2_4!M134,recreation_claude_v2_3!M134,recreation_claude_v2_2!M134,recreation_claude_v2_1!M134)/COUNT(recreation_claude_v2_5!M134,recreation_claude_v2_4!M134,recreation_claude_v2_3!M134,recreation_claude_v2_2!M134,recreation_claude_v2_1!M134),0),"NA")</f>
        <v>NA</v>
      </c>
      <c r="N134" t="str">
        <f>IF($E134 = 1,ROUND(SUM(recreation_claude_v2_5!N134,recreation_claude_v2_4!N134,recreation_claude_v2_3!N134,recreation_claude_v2_2!N134,recreation_claude_v2_1!N134)/COUNT(recreation_claude_v2_5!N134,recreation_claude_v2_4!N134,recreation_claude_v2_3!N134,recreation_claude_v2_2!N134,recreation_claude_v2_1!N134),0),"NA")</f>
        <v>NA</v>
      </c>
      <c r="O134" t="str">
        <f>IF($E134 = 1,ROUND(SUM(recreation_claude_v2_5!O134,recreation_claude_v2_4!O134,recreation_claude_v2_3!O134,recreation_claude_v2_2!O134,recreation_claude_v2_1!O134)/COUNT(recreation_claude_v2_5!O134,recreation_claude_v2_4!O134,recreation_claude_v2_3!O134,recreation_claude_v2_2!O134,recreation_claude_v2_1!O134),0),"NA")</f>
        <v>NA</v>
      </c>
    </row>
    <row r="135" spans="1:15" x14ac:dyDescent="0.25">
      <c r="A135" t="s">
        <v>140</v>
      </c>
      <c r="B135" t="s">
        <v>45</v>
      </c>
      <c r="C135">
        <v>0</v>
      </c>
      <c r="D135">
        <v>5.135141134262085</v>
      </c>
      <c r="E135">
        <f>ROUND(SUM(recreation_claude_v2_5!E135,recreation_claude_v2_4!E135,recreation_claude_v2_3!E135,recreation_claude_v2_2!E135,recreation_claude_v2_1!E135)/COUNT(recreation_claude_v2_5!E135,recreation_claude_v2_4!E135,recreation_claude_v2_3!E135,recreation_claude_v2_2!E135,recreation_claude_v2_1!E135),0)</f>
        <v>1</v>
      </c>
      <c r="F135">
        <f>IF($E135 = 1,ROUND(SUM(recreation_claude_v2_5!F135,recreation_claude_v2_4!F135,recreation_claude_v2_3!F135,recreation_claude_v2_2!F135,recreation_claude_v2_1!F135)/COUNT(recreation_claude_v2_5!F135,recreation_claude_v2_4!F135,recreation_claude_v2_3!F135,recreation_claude_v2_2!F135,recreation_claude_v2_1!F135),0),"NA")</f>
        <v>1</v>
      </c>
      <c r="G135">
        <f>IF($E135 = 1,ROUND(SUM(recreation_claude_v2_5!G135,recreation_claude_v2_4!G135,recreation_claude_v2_3!G135,recreation_claude_v2_2!G135,recreation_claude_v2_1!G135)/COUNT(recreation_claude_v2_5!G135,recreation_claude_v2_4!G135,recreation_claude_v2_3!G135,recreation_claude_v2_2!G135,recreation_claude_v2_1!G135),0),"NA")</f>
        <v>1</v>
      </c>
      <c r="H135">
        <f>IF($E135 = 1,ROUND(SUM(recreation_claude_v2_5!I135,recreation_claude_v2_4!I135,recreation_claude_v2_3!I135,recreation_claude_v2_2!I135,recreation_claude_v2_1!I135)/COUNT(recreation_claude_v2_5!I135,recreation_claude_v2_4!I135,recreation_claude_v2_3!I135,recreation_claude_v2_2!I135,recreation_claude_v2_1!I135),0),"NA")</f>
        <v>1</v>
      </c>
      <c r="I135">
        <f>IF($F135 = 1,ROUND(SUM(recreation_claude_v2_5!J135,recreation_claude_v2_4!J135,recreation_claude_v2_3!J135,recreation_claude_v2_2!J135,recreation_claude_v2_1!J135)/COUNT(recreation_claude_v2_5!J135,recreation_claude_v2_4!J135,recreation_claude_v2_3!J135,recreation_claude_v2_2!J135,recreation_claude_v2_1!J135),0),"NA")</f>
        <v>1</v>
      </c>
      <c r="J135">
        <f>IF($E135 = 1,ROUND(SUM(recreation_claude_v2_5!K135,recreation_claude_v2_4!K135,recreation_claude_v2_3!K135,recreation_claude_v2_2!K135,recreation_claude_v2_1!K135)/COUNT(recreation_claude_v2_5!K135,recreation_claude_v2_4!K135,recreation_claude_v2_3!K135,recreation_claude_v2_2!K135,recreation_claude_v2_1!K135),0),"NA")</f>
        <v>0</v>
      </c>
      <c r="K135">
        <f>IF(AND($F135 = 1, $G135 = 1),ROUND(SUM(recreation_claude_v2_5!L135,recreation_claude_v2_4!L135,recreation_claude_v2_3!L135,recreation_claude_v2_2!L135,recreation_claude_v2_1!L135)/COUNT(recreation_claude_v2_5!L135,recreation_claude_v2_4!L135,recreation_claude_v2_3!L135,recreation_claude_v2_2!L135,recreation_claude_v2_1!L135),0),"NA")</f>
        <v>1</v>
      </c>
      <c r="L135">
        <f>IF($E135 = 1,ROUND(SUM(recreation_claude_v2_5!L135,recreation_claude_v2_4!L135,recreation_claude_v2_3!L135,recreation_claude_v2_2!L135,recreation_claude_v2_1!L135)/COUNT(recreation_claude_v2_5!L135,recreation_claude_v2_4!L135,recreation_claude_v2_3!L135,recreation_claude_v2_2!L135,recreation_claude_v2_1!L135),0),"NA")</f>
        <v>1</v>
      </c>
      <c r="M135">
        <f>IF($E135 = 1,ROUND(SUM(recreation_claude_v2_5!M135,recreation_claude_v2_4!M135,recreation_claude_v2_3!M135,recreation_claude_v2_2!M135,recreation_claude_v2_1!M135)/COUNT(recreation_claude_v2_5!M135,recreation_claude_v2_4!M135,recreation_claude_v2_3!M135,recreation_claude_v2_2!M135,recreation_claude_v2_1!M135),0),"NA")</f>
        <v>1</v>
      </c>
      <c r="N135">
        <f>IF($E135 = 1,ROUND(SUM(recreation_claude_v2_5!N135,recreation_claude_v2_4!N135,recreation_claude_v2_3!N135,recreation_claude_v2_2!N135,recreation_claude_v2_1!N135)/COUNT(recreation_claude_v2_5!N135,recreation_claude_v2_4!N135,recreation_claude_v2_3!N135,recreation_claude_v2_2!N135,recreation_claude_v2_1!N135),0),"NA")</f>
        <v>1</v>
      </c>
      <c r="O135">
        <f>IF($E135 = 1,ROUND(SUM(recreation_claude_v2_5!O135,recreation_claude_v2_4!O135,recreation_claude_v2_3!O135,recreation_claude_v2_2!O135,recreation_claude_v2_1!O135)/COUNT(recreation_claude_v2_5!O135,recreation_claude_v2_4!O135,recreation_claude_v2_3!O135,recreation_claude_v2_2!O135,recreation_claude_v2_1!O135),0),"NA")</f>
        <v>1</v>
      </c>
    </row>
    <row r="136" spans="1:15" x14ac:dyDescent="0.25">
      <c r="A136" t="s">
        <v>140</v>
      </c>
      <c r="B136" t="s">
        <v>46</v>
      </c>
      <c r="C136">
        <v>0</v>
      </c>
      <c r="D136">
        <v>8.9798028469085693</v>
      </c>
      <c r="E136">
        <f>ROUND(SUM(recreation_claude_v2_5!E136,recreation_claude_v2_4!E136,recreation_claude_v2_3!E136,recreation_claude_v2_2!E136,recreation_claude_v2_1!E136)/COUNT(recreation_claude_v2_5!E136,recreation_claude_v2_4!E136,recreation_claude_v2_3!E136,recreation_claude_v2_2!E136,recreation_claude_v2_1!E136),0)</f>
        <v>1</v>
      </c>
      <c r="F136">
        <f>IF($E136 = 1,ROUND(SUM(recreation_claude_v2_5!F136,recreation_claude_v2_4!F136,recreation_claude_v2_3!F136,recreation_claude_v2_2!F136,recreation_claude_v2_1!F136)/COUNT(recreation_claude_v2_5!F136,recreation_claude_v2_4!F136,recreation_claude_v2_3!F136,recreation_claude_v2_2!F136,recreation_claude_v2_1!F136),0),"NA")</f>
        <v>1</v>
      </c>
      <c r="G136">
        <f>IF($E136 = 1,ROUND(SUM(recreation_claude_v2_5!G136,recreation_claude_v2_4!G136,recreation_claude_v2_3!G136,recreation_claude_v2_2!G136,recreation_claude_v2_1!G136)/COUNT(recreation_claude_v2_5!G136,recreation_claude_v2_4!G136,recreation_claude_v2_3!G136,recreation_claude_v2_2!G136,recreation_claude_v2_1!G136),0),"NA")</f>
        <v>1</v>
      </c>
      <c r="H136">
        <f>IF($E136 = 1,ROUND(SUM(recreation_claude_v2_5!I136,recreation_claude_v2_4!I136,recreation_claude_v2_3!I136,recreation_claude_v2_2!I136,recreation_claude_v2_1!I136)/COUNT(recreation_claude_v2_5!I136,recreation_claude_v2_4!I136,recreation_claude_v2_3!I136,recreation_claude_v2_2!I136,recreation_claude_v2_1!I136),0),"NA")</f>
        <v>1</v>
      </c>
      <c r="I136">
        <f>IF($F136 = 1,ROUND(SUM(recreation_claude_v2_5!J136,recreation_claude_v2_4!J136,recreation_claude_v2_3!J136,recreation_claude_v2_2!J136,recreation_claude_v2_1!J136)/COUNT(recreation_claude_v2_5!J136,recreation_claude_v2_4!J136,recreation_claude_v2_3!J136,recreation_claude_v2_2!J136,recreation_claude_v2_1!J136),0),"NA")</f>
        <v>1</v>
      </c>
      <c r="J136">
        <f>IF($E136 = 1,ROUND(SUM(recreation_claude_v2_5!K136,recreation_claude_v2_4!K136,recreation_claude_v2_3!K136,recreation_claude_v2_2!K136,recreation_claude_v2_1!K136)/COUNT(recreation_claude_v2_5!K136,recreation_claude_v2_4!K136,recreation_claude_v2_3!K136,recreation_claude_v2_2!K136,recreation_claude_v2_1!K136),0),"NA")</f>
        <v>1</v>
      </c>
      <c r="K136">
        <f>IF(AND($F136 = 1, $G136 = 1),ROUND(SUM(recreation_claude_v2_5!L136,recreation_claude_v2_4!L136,recreation_claude_v2_3!L136,recreation_claude_v2_2!L136,recreation_claude_v2_1!L136)/COUNT(recreation_claude_v2_5!L136,recreation_claude_v2_4!L136,recreation_claude_v2_3!L136,recreation_claude_v2_2!L136,recreation_claude_v2_1!L136),0),"NA")</f>
        <v>1</v>
      </c>
      <c r="L136">
        <f>IF($E136 = 1,ROUND(SUM(recreation_claude_v2_5!L136,recreation_claude_v2_4!L136,recreation_claude_v2_3!L136,recreation_claude_v2_2!L136,recreation_claude_v2_1!L136)/COUNT(recreation_claude_v2_5!L136,recreation_claude_v2_4!L136,recreation_claude_v2_3!L136,recreation_claude_v2_2!L136,recreation_claude_v2_1!L136),0),"NA")</f>
        <v>1</v>
      </c>
      <c r="M136">
        <f>IF($E136 = 1,ROUND(SUM(recreation_claude_v2_5!M136,recreation_claude_v2_4!M136,recreation_claude_v2_3!M136,recreation_claude_v2_2!M136,recreation_claude_v2_1!M136)/COUNT(recreation_claude_v2_5!M136,recreation_claude_v2_4!M136,recreation_claude_v2_3!M136,recreation_claude_v2_2!M136,recreation_claude_v2_1!M136),0),"NA")</f>
        <v>1</v>
      </c>
      <c r="N136">
        <f>IF($E136 = 1,ROUND(SUM(recreation_claude_v2_5!N136,recreation_claude_v2_4!N136,recreation_claude_v2_3!N136,recreation_claude_v2_2!N136,recreation_claude_v2_1!N136)/COUNT(recreation_claude_v2_5!N136,recreation_claude_v2_4!N136,recreation_claude_v2_3!N136,recreation_claude_v2_2!N136,recreation_claude_v2_1!N136),0),"NA")</f>
        <v>1</v>
      </c>
      <c r="O136">
        <f>IF($E136 = 1,ROUND(SUM(recreation_claude_v2_5!O136,recreation_claude_v2_4!O136,recreation_claude_v2_3!O136,recreation_claude_v2_2!O136,recreation_claude_v2_1!O136)/COUNT(recreation_claude_v2_5!O136,recreation_claude_v2_4!O136,recreation_claude_v2_3!O136,recreation_claude_v2_2!O136,recreation_claude_v2_1!O136),0),"NA")</f>
        <v>1</v>
      </c>
    </row>
    <row r="137" spans="1:15" x14ac:dyDescent="0.25">
      <c r="A137" t="s">
        <v>140</v>
      </c>
      <c r="B137" t="s">
        <v>47</v>
      </c>
      <c r="C137">
        <v>0</v>
      </c>
      <c r="D137">
        <v>5.9271082878112793</v>
      </c>
      <c r="E137">
        <f>ROUND(SUM(recreation_claude_v2_5!E137,recreation_claude_v2_4!E137,recreation_claude_v2_3!E137,recreation_claude_v2_2!E137,recreation_claude_v2_1!E137)/COUNT(recreation_claude_v2_5!E137,recreation_claude_v2_4!E137,recreation_claude_v2_3!E137,recreation_claude_v2_2!E137,recreation_claude_v2_1!E137),0)</f>
        <v>0</v>
      </c>
      <c r="F137" t="str">
        <f>IF($E137 = 1,ROUND(SUM(recreation_claude_v2_5!F137,recreation_claude_v2_4!F137,recreation_claude_v2_3!F137,recreation_claude_v2_2!F137,recreation_claude_v2_1!F137)/COUNT(recreation_claude_v2_5!F137,recreation_claude_v2_4!F137,recreation_claude_v2_3!F137,recreation_claude_v2_2!F137,recreation_claude_v2_1!F137),0),"NA")</f>
        <v>NA</v>
      </c>
      <c r="G137" t="str">
        <f>IF($E137 = 1,ROUND(SUM(recreation_claude_v2_5!G137,recreation_claude_v2_4!G137,recreation_claude_v2_3!G137,recreation_claude_v2_2!G137,recreation_claude_v2_1!G137)/COUNT(recreation_claude_v2_5!G137,recreation_claude_v2_4!G137,recreation_claude_v2_3!G137,recreation_claude_v2_2!G137,recreation_claude_v2_1!G137),0),"NA")</f>
        <v>NA</v>
      </c>
      <c r="H137" t="str">
        <f>IF($E137 = 1,ROUND(SUM(recreation_claude_v2_5!I137,recreation_claude_v2_4!I137,recreation_claude_v2_3!I137,recreation_claude_v2_2!I137,recreation_claude_v2_1!I137)/COUNT(recreation_claude_v2_5!I137,recreation_claude_v2_4!I137,recreation_claude_v2_3!I137,recreation_claude_v2_2!I137,recreation_claude_v2_1!I137),0),"NA")</f>
        <v>NA</v>
      </c>
      <c r="I137" t="str">
        <f>IF($F137 = 1,ROUND(SUM(recreation_claude_v2_5!J137,recreation_claude_v2_4!J137,recreation_claude_v2_3!J137,recreation_claude_v2_2!J137,recreation_claude_v2_1!J137)/COUNT(recreation_claude_v2_5!J137,recreation_claude_v2_4!J137,recreation_claude_v2_3!J137,recreation_claude_v2_2!J137,recreation_claude_v2_1!J137),0),"NA")</f>
        <v>NA</v>
      </c>
      <c r="J137" t="str">
        <f>IF($E137 = 1,ROUND(SUM(recreation_claude_v2_5!K137,recreation_claude_v2_4!K137,recreation_claude_v2_3!K137,recreation_claude_v2_2!K137,recreation_claude_v2_1!K137)/COUNT(recreation_claude_v2_5!K137,recreation_claude_v2_4!K137,recreation_claude_v2_3!K137,recreation_claude_v2_2!K137,recreation_claude_v2_1!K137),0),"NA")</f>
        <v>NA</v>
      </c>
      <c r="K137" t="str">
        <f>IF(AND($F137 = 1, $G137 = 1),ROUND(SUM(recreation_claude_v2_5!L137,recreation_claude_v2_4!L137,recreation_claude_v2_3!L137,recreation_claude_v2_2!L137,recreation_claude_v2_1!L137)/COUNT(recreation_claude_v2_5!L137,recreation_claude_v2_4!L137,recreation_claude_v2_3!L137,recreation_claude_v2_2!L137,recreation_claude_v2_1!L137),0),"NA")</f>
        <v>NA</v>
      </c>
      <c r="L137" t="str">
        <f>IF($E137 = 1,ROUND(SUM(recreation_claude_v2_5!L137,recreation_claude_v2_4!L137,recreation_claude_v2_3!L137,recreation_claude_v2_2!L137,recreation_claude_v2_1!L137)/COUNT(recreation_claude_v2_5!L137,recreation_claude_v2_4!L137,recreation_claude_v2_3!L137,recreation_claude_v2_2!L137,recreation_claude_v2_1!L137),0),"NA")</f>
        <v>NA</v>
      </c>
      <c r="M137" t="str">
        <f>IF($E137 = 1,ROUND(SUM(recreation_claude_v2_5!M137,recreation_claude_v2_4!M137,recreation_claude_v2_3!M137,recreation_claude_v2_2!M137,recreation_claude_v2_1!M137)/COUNT(recreation_claude_v2_5!M137,recreation_claude_v2_4!M137,recreation_claude_v2_3!M137,recreation_claude_v2_2!M137,recreation_claude_v2_1!M137),0),"NA")</f>
        <v>NA</v>
      </c>
      <c r="N137" t="str">
        <f>IF($E137 = 1,ROUND(SUM(recreation_claude_v2_5!N137,recreation_claude_v2_4!N137,recreation_claude_v2_3!N137,recreation_claude_v2_2!N137,recreation_claude_v2_1!N137)/COUNT(recreation_claude_v2_5!N137,recreation_claude_v2_4!N137,recreation_claude_v2_3!N137,recreation_claude_v2_2!N137,recreation_claude_v2_1!N137),0),"NA")</f>
        <v>NA</v>
      </c>
      <c r="O137" t="str">
        <f>IF($E137 = 1,ROUND(SUM(recreation_claude_v2_5!O137,recreation_claude_v2_4!O137,recreation_claude_v2_3!O137,recreation_claude_v2_2!O137,recreation_claude_v2_1!O137)/COUNT(recreation_claude_v2_5!O137,recreation_claude_v2_4!O137,recreation_claude_v2_3!O137,recreation_claude_v2_2!O137,recreation_claude_v2_1!O137),0),"NA")</f>
        <v>NA</v>
      </c>
    </row>
    <row r="138" spans="1:15" x14ac:dyDescent="0.25">
      <c r="A138" t="s">
        <v>140</v>
      </c>
      <c r="B138" t="s">
        <v>48</v>
      </c>
      <c r="C138">
        <v>0</v>
      </c>
      <c r="D138">
        <v>9.4106009006500244</v>
      </c>
      <c r="E138">
        <f>ROUND(SUM(recreation_claude_v2_5!E138,recreation_claude_v2_4!E138,recreation_claude_v2_3!E138,recreation_claude_v2_2!E138,recreation_claude_v2_1!E138)/COUNT(recreation_claude_v2_5!E138,recreation_claude_v2_4!E138,recreation_claude_v2_3!E138,recreation_claude_v2_2!E138,recreation_claude_v2_1!E138),0)</f>
        <v>1</v>
      </c>
      <c r="F138">
        <f>IF($E138 = 1,ROUND(SUM(recreation_claude_v2_5!F138,recreation_claude_v2_4!F138,recreation_claude_v2_3!F138,recreation_claude_v2_2!F138,recreation_claude_v2_1!F138)/COUNT(recreation_claude_v2_5!F138,recreation_claude_v2_4!F138,recreation_claude_v2_3!F138,recreation_claude_v2_2!F138,recreation_claude_v2_1!F138),0),"NA")</f>
        <v>0</v>
      </c>
      <c r="G138">
        <f>IF($E138 = 1,ROUND(SUM(recreation_claude_v2_5!G138,recreation_claude_v2_4!G138,recreation_claude_v2_3!G138,recreation_claude_v2_2!G138,recreation_claude_v2_1!G138)/COUNT(recreation_claude_v2_5!G138,recreation_claude_v2_4!G138,recreation_claude_v2_3!G138,recreation_claude_v2_2!G138,recreation_claude_v2_1!G138),0),"NA")</f>
        <v>1</v>
      </c>
      <c r="H138">
        <f>IF($E138 = 1,ROUND(SUM(recreation_claude_v2_5!I138,recreation_claude_v2_4!I138,recreation_claude_v2_3!I138,recreation_claude_v2_2!I138,recreation_claude_v2_1!I138)/COUNT(recreation_claude_v2_5!I138,recreation_claude_v2_4!I138,recreation_claude_v2_3!I138,recreation_claude_v2_2!I138,recreation_claude_v2_1!I138),0),"NA")</f>
        <v>1</v>
      </c>
      <c r="I138" t="str">
        <f>IF($F138 = 1,ROUND(SUM(recreation_claude_v2_5!J138,recreation_claude_v2_4!J138,recreation_claude_v2_3!J138,recreation_claude_v2_2!J138,recreation_claude_v2_1!J138)/COUNT(recreation_claude_v2_5!J138,recreation_claude_v2_4!J138,recreation_claude_v2_3!J138,recreation_claude_v2_2!J138,recreation_claude_v2_1!J138),0),"NA")</f>
        <v>NA</v>
      </c>
      <c r="J138">
        <f>IF($E138 = 1,ROUND(SUM(recreation_claude_v2_5!K138,recreation_claude_v2_4!K138,recreation_claude_v2_3!K138,recreation_claude_v2_2!K138,recreation_claude_v2_1!K138)/COUNT(recreation_claude_v2_5!K138,recreation_claude_v2_4!K138,recreation_claude_v2_3!K138,recreation_claude_v2_2!K138,recreation_claude_v2_1!K138),0),"NA")</f>
        <v>1</v>
      </c>
      <c r="K138" t="str">
        <f>IF(AND($F138 = 1, $G138 = 1),ROUND(SUM(recreation_claude_v2_5!L138,recreation_claude_v2_4!L138,recreation_claude_v2_3!L138,recreation_claude_v2_2!L138,recreation_claude_v2_1!L138)/COUNT(recreation_claude_v2_5!L138,recreation_claude_v2_4!L138,recreation_claude_v2_3!L138,recreation_claude_v2_2!L138,recreation_claude_v2_1!L138),0),"NA")</f>
        <v>NA</v>
      </c>
      <c r="L138">
        <f>IF($E138 = 1,ROUND(SUM(recreation_claude_v2_5!L138,recreation_claude_v2_4!L138,recreation_claude_v2_3!L138,recreation_claude_v2_2!L138,recreation_claude_v2_1!L138)/COUNT(recreation_claude_v2_5!L138,recreation_claude_v2_4!L138,recreation_claude_v2_3!L138,recreation_claude_v2_2!L138,recreation_claude_v2_1!L138),0),"NA")</f>
        <v>1</v>
      </c>
      <c r="M138">
        <f>IF($E138 = 1,ROUND(SUM(recreation_claude_v2_5!M138,recreation_claude_v2_4!M138,recreation_claude_v2_3!M138,recreation_claude_v2_2!M138,recreation_claude_v2_1!M138)/COUNT(recreation_claude_v2_5!M138,recreation_claude_v2_4!M138,recreation_claude_v2_3!M138,recreation_claude_v2_2!M138,recreation_claude_v2_1!M138),0),"NA")</f>
        <v>1</v>
      </c>
      <c r="N138">
        <f>IF($E138 = 1,ROUND(SUM(recreation_claude_v2_5!N138,recreation_claude_v2_4!N138,recreation_claude_v2_3!N138,recreation_claude_v2_2!N138,recreation_claude_v2_1!N138)/COUNT(recreation_claude_v2_5!N138,recreation_claude_v2_4!N138,recreation_claude_v2_3!N138,recreation_claude_v2_2!N138,recreation_claude_v2_1!N138),0),"NA")</f>
        <v>1</v>
      </c>
      <c r="O138">
        <f>IF($E138 = 1,ROUND(SUM(recreation_claude_v2_5!O138,recreation_claude_v2_4!O138,recreation_claude_v2_3!O138,recreation_claude_v2_2!O138,recreation_claude_v2_1!O138)/COUNT(recreation_claude_v2_5!O138,recreation_claude_v2_4!O138,recreation_claude_v2_3!O138,recreation_claude_v2_2!O138,recreation_claude_v2_1!O138),0),"NA")</f>
        <v>1</v>
      </c>
    </row>
    <row r="139" spans="1:15" x14ac:dyDescent="0.25">
      <c r="A139" t="s">
        <v>140</v>
      </c>
      <c r="B139" t="s">
        <v>49</v>
      </c>
      <c r="C139">
        <v>0</v>
      </c>
      <c r="D139">
        <v>8.37131667137146</v>
      </c>
      <c r="E139">
        <f>ROUND(SUM(recreation_claude_v2_5!E139,recreation_claude_v2_4!E139,recreation_claude_v2_3!E139,recreation_claude_v2_2!E139,recreation_claude_v2_1!E139)/COUNT(recreation_claude_v2_5!E139,recreation_claude_v2_4!E139,recreation_claude_v2_3!E139,recreation_claude_v2_2!E139,recreation_claude_v2_1!E139),0)</f>
        <v>0</v>
      </c>
      <c r="F139" t="str">
        <f>IF($E139 = 1,ROUND(SUM(recreation_claude_v2_5!F139,recreation_claude_v2_4!F139,recreation_claude_v2_3!F139,recreation_claude_v2_2!F139,recreation_claude_v2_1!F139)/COUNT(recreation_claude_v2_5!F139,recreation_claude_v2_4!F139,recreation_claude_v2_3!F139,recreation_claude_v2_2!F139,recreation_claude_v2_1!F139),0),"NA")</f>
        <v>NA</v>
      </c>
      <c r="G139" t="str">
        <f>IF($E139 = 1,ROUND(SUM(recreation_claude_v2_5!G139,recreation_claude_v2_4!G139,recreation_claude_v2_3!G139,recreation_claude_v2_2!G139,recreation_claude_v2_1!G139)/COUNT(recreation_claude_v2_5!G139,recreation_claude_v2_4!G139,recreation_claude_v2_3!G139,recreation_claude_v2_2!G139,recreation_claude_v2_1!G139),0),"NA")</f>
        <v>NA</v>
      </c>
      <c r="H139" t="str">
        <f>IF($E139 = 1,ROUND(SUM(recreation_claude_v2_5!I139,recreation_claude_v2_4!I139,recreation_claude_v2_3!I139,recreation_claude_v2_2!I139,recreation_claude_v2_1!I139)/COUNT(recreation_claude_v2_5!I139,recreation_claude_v2_4!I139,recreation_claude_v2_3!I139,recreation_claude_v2_2!I139,recreation_claude_v2_1!I139),0),"NA")</f>
        <v>NA</v>
      </c>
      <c r="I139" t="str">
        <f>IF($F139 = 1,ROUND(SUM(recreation_claude_v2_5!J139,recreation_claude_v2_4!J139,recreation_claude_v2_3!J139,recreation_claude_v2_2!J139,recreation_claude_v2_1!J139)/COUNT(recreation_claude_v2_5!J139,recreation_claude_v2_4!J139,recreation_claude_v2_3!J139,recreation_claude_v2_2!J139,recreation_claude_v2_1!J139),0),"NA")</f>
        <v>NA</v>
      </c>
      <c r="J139" t="str">
        <f>IF($E139 = 1,ROUND(SUM(recreation_claude_v2_5!K139,recreation_claude_v2_4!K139,recreation_claude_v2_3!K139,recreation_claude_v2_2!K139,recreation_claude_v2_1!K139)/COUNT(recreation_claude_v2_5!K139,recreation_claude_v2_4!K139,recreation_claude_v2_3!K139,recreation_claude_v2_2!K139,recreation_claude_v2_1!K139),0),"NA")</f>
        <v>NA</v>
      </c>
      <c r="K139" t="str">
        <f>IF(AND($F139 = 1, $G139 = 1),ROUND(SUM(recreation_claude_v2_5!L139,recreation_claude_v2_4!L139,recreation_claude_v2_3!L139,recreation_claude_v2_2!L139,recreation_claude_v2_1!L139)/COUNT(recreation_claude_v2_5!L139,recreation_claude_v2_4!L139,recreation_claude_v2_3!L139,recreation_claude_v2_2!L139,recreation_claude_v2_1!L139),0),"NA")</f>
        <v>NA</v>
      </c>
      <c r="L139" t="str">
        <f>IF($E139 = 1,ROUND(SUM(recreation_claude_v2_5!L139,recreation_claude_v2_4!L139,recreation_claude_v2_3!L139,recreation_claude_v2_2!L139,recreation_claude_v2_1!L139)/COUNT(recreation_claude_v2_5!L139,recreation_claude_v2_4!L139,recreation_claude_v2_3!L139,recreation_claude_v2_2!L139,recreation_claude_v2_1!L139),0),"NA")</f>
        <v>NA</v>
      </c>
      <c r="M139" t="str">
        <f>IF($E139 = 1,ROUND(SUM(recreation_claude_v2_5!M139,recreation_claude_v2_4!M139,recreation_claude_v2_3!M139,recreation_claude_v2_2!M139,recreation_claude_v2_1!M139)/COUNT(recreation_claude_v2_5!M139,recreation_claude_v2_4!M139,recreation_claude_v2_3!M139,recreation_claude_v2_2!M139,recreation_claude_v2_1!M139),0),"NA")</f>
        <v>NA</v>
      </c>
      <c r="N139" t="str">
        <f>IF($E139 = 1,ROUND(SUM(recreation_claude_v2_5!N139,recreation_claude_v2_4!N139,recreation_claude_v2_3!N139,recreation_claude_v2_2!N139,recreation_claude_v2_1!N139)/COUNT(recreation_claude_v2_5!N139,recreation_claude_v2_4!N139,recreation_claude_v2_3!N139,recreation_claude_v2_2!N139,recreation_claude_v2_1!N139),0),"NA")</f>
        <v>NA</v>
      </c>
      <c r="O139" t="str">
        <f>IF($E139 = 1,ROUND(SUM(recreation_claude_v2_5!O139,recreation_claude_v2_4!O139,recreation_claude_v2_3!O139,recreation_claude_v2_2!O139,recreation_claude_v2_1!O139)/COUNT(recreation_claude_v2_5!O139,recreation_claude_v2_4!O139,recreation_claude_v2_3!O139,recreation_claude_v2_2!O139,recreation_claude_v2_1!O139),0),"NA")</f>
        <v>NA</v>
      </c>
    </row>
    <row r="140" spans="1:15" x14ac:dyDescent="0.25">
      <c r="A140" t="s">
        <v>140</v>
      </c>
      <c r="B140" t="s">
        <v>51</v>
      </c>
      <c r="C140">
        <v>0</v>
      </c>
      <c r="D140">
        <v>9.5408947467803955</v>
      </c>
      <c r="E140">
        <f>ROUND(SUM(recreation_claude_v2_5!E140,recreation_claude_v2_4!E140,recreation_claude_v2_3!E140,recreation_claude_v2_2!E140,recreation_claude_v2_1!E140)/COUNT(recreation_claude_v2_5!E140,recreation_claude_v2_4!E140,recreation_claude_v2_3!E140,recreation_claude_v2_2!E140,recreation_claude_v2_1!E140),0)</f>
        <v>1</v>
      </c>
      <c r="F140">
        <f>IF($E140 = 1,ROUND(SUM(recreation_claude_v2_5!F140,recreation_claude_v2_4!F140,recreation_claude_v2_3!F140,recreation_claude_v2_2!F140,recreation_claude_v2_1!F140)/COUNT(recreation_claude_v2_5!F140,recreation_claude_v2_4!F140,recreation_claude_v2_3!F140,recreation_claude_v2_2!F140,recreation_claude_v2_1!F140),0),"NA")</f>
        <v>0</v>
      </c>
      <c r="G140">
        <f>IF($E140 = 1,ROUND(SUM(recreation_claude_v2_5!G140,recreation_claude_v2_4!G140,recreation_claude_v2_3!G140,recreation_claude_v2_2!G140,recreation_claude_v2_1!G140)/COUNT(recreation_claude_v2_5!G140,recreation_claude_v2_4!G140,recreation_claude_v2_3!G140,recreation_claude_v2_2!G140,recreation_claude_v2_1!G140),0),"NA")</f>
        <v>1</v>
      </c>
      <c r="H140">
        <f>IF($E140 = 1,ROUND(SUM(recreation_claude_v2_5!I140,recreation_claude_v2_4!I140,recreation_claude_v2_3!I140,recreation_claude_v2_2!I140,recreation_claude_v2_1!I140)/COUNT(recreation_claude_v2_5!I140,recreation_claude_v2_4!I140,recreation_claude_v2_3!I140,recreation_claude_v2_2!I140,recreation_claude_v2_1!I140),0),"NA")</f>
        <v>1</v>
      </c>
      <c r="I140" t="str">
        <f>IF($F140 = 1,ROUND(SUM(recreation_claude_v2_5!J140,recreation_claude_v2_4!J140,recreation_claude_v2_3!J140,recreation_claude_v2_2!J140,recreation_claude_v2_1!J140)/COUNT(recreation_claude_v2_5!J140,recreation_claude_v2_4!J140,recreation_claude_v2_3!J140,recreation_claude_v2_2!J140,recreation_claude_v2_1!J140),0),"NA")</f>
        <v>NA</v>
      </c>
      <c r="J140">
        <f>IF($E140 = 1,ROUND(SUM(recreation_claude_v2_5!K140,recreation_claude_v2_4!K140,recreation_claude_v2_3!K140,recreation_claude_v2_2!K140,recreation_claude_v2_1!K140)/COUNT(recreation_claude_v2_5!K140,recreation_claude_v2_4!K140,recreation_claude_v2_3!K140,recreation_claude_v2_2!K140,recreation_claude_v2_1!K140),0),"NA")</f>
        <v>1</v>
      </c>
      <c r="K140" t="str">
        <f>IF(AND($F140 = 1, $G140 = 1),ROUND(SUM(recreation_claude_v2_5!L140,recreation_claude_v2_4!L140,recreation_claude_v2_3!L140,recreation_claude_v2_2!L140,recreation_claude_v2_1!L140)/COUNT(recreation_claude_v2_5!L140,recreation_claude_v2_4!L140,recreation_claude_v2_3!L140,recreation_claude_v2_2!L140,recreation_claude_v2_1!L140),0),"NA")</f>
        <v>NA</v>
      </c>
      <c r="L140">
        <f>IF($E140 = 1,ROUND(SUM(recreation_claude_v2_5!L140,recreation_claude_v2_4!L140,recreation_claude_v2_3!L140,recreation_claude_v2_2!L140,recreation_claude_v2_1!L140)/COUNT(recreation_claude_v2_5!L140,recreation_claude_v2_4!L140,recreation_claude_v2_3!L140,recreation_claude_v2_2!L140,recreation_claude_v2_1!L140),0),"NA")</f>
        <v>1</v>
      </c>
      <c r="M140">
        <f>IF($E140 = 1,ROUND(SUM(recreation_claude_v2_5!M140,recreation_claude_v2_4!M140,recreation_claude_v2_3!M140,recreation_claude_v2_2!M140,recreation_claude_v2_1!M140)/COUNT(recreation_claude_v2_5!M140,recreation_claude_v2_4!M140,recreation_claude_v2_3!M140,recreation_claude_v2_2!M140,recreation_claude_v2_1!M140),0),"NA")</f>
        <v>1</v>
      </c>
      <c r="N140">
        <f>IF($E140 = 1,ROUND(SUM(recreation_claude_v2_5!N140,recreation_claude_v2_4!N140,recreation_claude_v2_3!N140,recreation_claude_v2_2!N140,recreation_claude_v2_1!N140)/COUNT(recreation_claude_v2_5!N140,recreation_claude_v2_4!N140,recreation_claude_v2_3!N140,recreation_claude_v2_2!N140,recreation_claude_v2_1!N140),0),"NA")</f>
        <v>1</v>
      </c>
      <c r="O140">
        <f>IF($E140 = 1,ROUND(SUM(recreation_claude_v2_5!O140,recreation_claude_v2_4!O140,recreation_claude_v2_3!O140,recreation_claude_v2_2!O140,recreation_claude_v2_1!O140)/COUNT(recreation_claude_v2_5!O140,recreation_claude_v2_4!O140,recreation_claude_v2_3!O140,recreation_claude_v2_2!O140,recreation_claude_v2_1!O140),0),"NA")</f>
        <v>1</v>
      </c>
    </row>
    <row r="141" spans="1:15" x14ac:dyDescent="0.25">
      <c r="A141" t="s">
        <v>140</v>
      </c>
      <c r="B141" t="s">
        <v>53</v>
      </c>
      <c r="C141">
        <v>0</v>
      </c>
      <c r="D141">
        <v>7.5418715476989746</v>
      </c>
      <c r="E141">
        <f>ROUND(SUM(recreation_claude_v2_5!E141,recreation_claude_v2_4!E141,recreation_claude_v2_3!E141,recreation_claude_v2_2!E141,recreation_claude_v2_1!E141)/COUNT(recreation_claude_v2_5!E141,recreation_claude_v2_4!E141,recreation_claude_v2_3!E141,recreation_claude_v2_2!E141,recreation_claude_v2_1!E141),0)</f>
        <v>1</v>
      </c>
      <c r="F141">
        <f>IF($E141 = 1,ROUND(SUM(recreation_claude_v2_5!F141,recreation_claude_v2_4!F141,recreation_claude_v2_3!F141,recreation_claude_v2_2!F141,recreation_claude_v2_1!F141)/COUNT(recreation_claude_v2_5!F141,recreation_claude_v2_4!F141,recreation_claude_v2_3!F141,recreation_claude_v2_2!F141,recreation_claude_v2_1!F141),0),"NA")</f>
        <v>1</v>
      </c>
      <c r="G141">
        <f>IF($E141 = 1,ROUND(SUM(recreation_claude_v2_5!G141,recreation_claude_v2_4!G141,recreation_claude_v2_3!G141,recreation_claude_v2_2!G141,recreation_claude_v2_1!G141)/COUNT(recreation_claude_v2_5!G141,recreation_claude_v2_4!G141,recreation_claude_v2_3!G141,recreation_claude_v2_2!G141,recreation_claude_v2_1!G141),0),"NA")</f>
        <v>1</v>
      </c>
      <c r="H141">
        <f>IF($E141 = 1,ROUND(SUM(recreation_claude_v2_5!I141,recreation_claude_v2_4!I141,recreation_claude_v2_3!I141,recreation_claude_v2_2!I141,recreation_claude_v2_1!I141)/COUNT(recreation_claude_v2_5!I141,recreation_claude_v2_4!I141,recreation_claude_v2_3!I141,recreation_claude_v2_2!I141,recreation_claude_v2_1!I141),0),"NA")</f>
        <v>1</v>
      </c>
      <c r="I141">
        <f>IF($F141 = 1,ROUND(SUM(recreation_claude_v2_5!J141,recreation_claude_v2_4!J141,recreation_claude_v2_3!J141,recreation_claude_v2_2!J141,recreation_claude_v2_1!J141)/COUNT(recreation_claude_v2_5!J141,recreation_claude_v2_4!J141,recreation_claude_v2_3!J141,recreation_claude_v2_2!J141,recreation_claude_v2_1!J141),0),"NA")</f>
        <v>1</v>
      </c>
      <c r="J141">
        <f>IF($E141 = 1,ROUND(SUM(recreation_claude_v2_5!K141,recreation_claude_v2_4!K141,recreation_claude_v2_3!K141,recreation_claude_v2_2!K141,recreation_claude_v2_1!K141)/COUNT(recreation_claude_v2_5!K141,recreation_claude_v2_4!K141,recreation_claude_v2_3!K141,recreation_claude_v2_2!K141,recreation_claude_v2_1!K141),0),"NA")</f>
        <v>1</v>
      </c>
      <c r="K141">
        <f>IF(AND($F141 = 1, $G141 = 1),ROUND(SUM(recreation_claude_v2_5!L141,recreation_claude_v2_4!L141,recreation_claude_v2_3!L141,recreation_claude_v2_2!L141,recreation_claude_v2_1!L141)/COUNT(recreation_claude_v2_5!L141,recreation_claude_v2_4!L141,recreation_claude_v2_3!L141,recreation_claude_v2_2!L141,recreation_claude_v2_1!L141),0),"NA")</f>
        <v>1</v>
      </c>
      <c r="L141">
        <f>IF($E141 = 1,ROUND(SUM(recreation_claude_v2_5!L141,recreation_claude_v2_4!L141,recreation_claude_v2_3!L141,recreation_claude_v2_2!L141,recreation_claude_v2_1!L141)/COUNT(recreation_claude_v2_5!L141,recreation_claude_v2_4!L141,recreation_claude_v2_3!L141,recreation_claude_v2_2!L141,recreation_claude_v2_1!L141),0),"NA")</f>
        <v>1</v>
      </c>
      <c r="M141">
        <f>IF($E141 = 1,ROUND(SUM(recreation_claude_v2_5!M141,recreation_claude_v2_4!M141,recreation_claude_v2_3!M141,recreation_claude_v2_2!M141,recreation_claude_v2_1!M141)/COUNT(recreation_claude_v2_5!M141,recreation_claude_v2_4!M141,recreation_claude_v2_3!M141,recreation_claude_v2_2!M141,recreation_claude_v2_1!M141),0),"NA")</f>
        <v>1</v>
      </c>
      <c r="N141">
        <f>IF($E141 = 1,ROUND(SUM(recreation_claude_v2_5!N141,recreation_claude_v2_4!N141,recreation_claude_v2_3!N141,recreation_claude_v2_2!N141,recreation_claude_v2_1!N141)/COUNT(recreation_claude_v2_5!N141,recreation_claude_v2_4!N141,recreation_claude_v2_3!N141,recreation_claude_v2_2!N141,recreation_claude_v2_1!N141),0),"NA")</f>
        <v>1</v>
      </c>
      <c r="O141">
        <f>IF($E141 = 1,ROUND(SUM(recreation_claude_v2_5!O141,recreation_claude_v2_4!O141,recreation_claude_v2_3!O141,recreation_claude_v2_2!O141,recreation_claude_v2_1!O141)/COUNT(recreation_claude_v2_5!O141,recreation_claude_v2_4!O141,recreation_claude_v2_3!O141,recreation_claude_v2_2!O141,recreation_claude_v2_1!O141),0),"NA")</f>
        <v>1</v>
      </c>
    </row>
    <row r="142" spans="1:15" x14ac:dyDescent="0.25">
      <c r="A142" t="s">
        <v>140</v>
      </c>
      <c r="B142" t="s">
        <v>54</v>
      </c>
      <c r="C142">
        <v>0</v>
      </c>
      <c r="D142">
        <v>6.3291704654693604</v>
      </c>
      <c r="E142">
        <f>ROUND(SUM(recreation_claude_v2_5!E142,recreation_claude_v2_4!E142,recreation_claude_v2_3!E142,recreation_claude_v2_2!E142,recreation_claude_v2_1!E142)/COUNT(recreation_claude_v2_5!E142,recreation_claude_v2_4!E142,recreation_claude_v2_3!E142,recreation_claude_v2_2!E142,recreation_claude_v2_1!E142),0)</f>
        <v>1</v>
      </c>
      <c r="F142">
        <f>IF($E142 = 1,ROUND(SUM(recreation_claude_v2_5!F142,recreation_claude_v2_4!F142,recreation_claude_v2_3!F142,recreation_claude_v2_2!F142,recreation_claude_v2_1!F142)/COUNT(recreation_claude_v2_5!F142,recreation_claude_v2_4!F142,recreation_claude_v2_3!F142,recreation_claude_v2_2!F142,recreation_claude_v2_1!F142),0),"NA")</f>
        <v>1</v>
      </c>
      <c r="G142">
        <f>IF($E142 = 1,ROUND(SUM(recreation_claude_v2_5!G142,recreation_claude_v2_4!G142,recreation_claude_v2_3!G142,recreation_claude_v2_2!G142,recreation_claude_v2_1!G142)/COUNT(recreation_claude_v2_5!G142,recreation_claude_v2_4!G142,recreation_claude_v2_3!G142,recreation_claude_v2_2!G142,recreation_claude_v2_1!G142),0),"NA")</f>
        <v>1</v>
      </c>
      <c r="H142">
        <f>IF($E142 = 1,ROUND(SUM(recreation_claude_v2_5!I142,recreation_claude_v2_4!I142,recreation_claude_v2_3!I142,recreation_claude_v2_2!I142,recreation_claude_v2_1!I142)/COUNT(recreation_claude_v2_5!I142,recreation_claude_v2_4!I142,recreation_claude_v2_3!I142,recreation_claude_v2_2!I142,recreation_claude_v2_1!I142),0),"NA")</f>
        <v>1</v>
      </c>
      <c r="I142">
        <f>IF($F142 = 1,ROUND(SUM(recreation_claude_v2_5!J142,recreation_claude_v2_4!J142,recreation_claude_v2_3!J142,recreation_claude_v2_2!J142,recreation_claude_v2_1!J142)/COUNT(recreation_claude_v2_5!J142,recreation_claude_v2_4!J142,recreation_claude_v2_3!J142,recreation_claude_v2_2!J142,recreation_claude_v2_1!J142),0),"NA")</f>
        <v>1</v>
      </c>
      <c r="J142">
        <f>IF($E142 = 1,ROUND(SUM(recreation_claude_v2_5!K142,recreation_claude_v2_4!K142,recreation_claude_v2_3!K142,recreation_claude_v2_2!K142,recreation_claude_v2_1!K142)/COUNT(recreation_claude_v2_5!K142,recreation_claude_v2_4!K142,recreation_claude_v2_3!K142,recreation_claude_v2_2!K142,recreation_claude_v2_1!K142),0),"NA")</f>
        <v>1</v>
      </c>
      <c r="K142">
        <f>IF(AND($F142 = 1, $G142 = 1),ROUND(SUM(recreation_claude_v2_5!L142,recreation_claude_v2_4!L142,recreation_claude_v2_3!L142,recreation_claude_v2_2!L142,recreation_claude_v2_1!L142)/COUNT(recreation_claude_v2_5!L142,recreation_claude_v2_4!L142,recreation_claude_v2_3!L142,recreation_claude_v2_2!L142,recreation_claude_v2_1!L142),0),"NA")</f>
        <v>1</v>
      </c>
      <c r="L142">
        <f>IF($E142 = 1,ROUND(SUM(recreation_claude_v2_5!L142,recreation_claude_v2_4!L142,recreation_claude_v2_3!L142,recreation_claude_v2_2!L142,recreation_claude_v2_1!L142)/COUNT(recreation_claude_v2_5!L142,recreation_claude_v2_4!L142,recreation_claude_v2_3!L142,recreation_claude_v2_2!L142,recreation_claude_v2_1!L142),0),"NA")</f>
        <v>1</v>
      </c>
      <c r="M142">
        <f>IF($E142 = 1,ROUND(SUM(recreation_claude_v2_5!M142,recreation_claude_v2_4!M142,recreation_claude_v2_3!M142,recreation_claude_v2_2!M142,recreation_claude_v2_1!M142)/COUNT(recreation_claude_v2_5!M142,recreation_claude_v2_4!M142,recreation_claude_v2_3!M142,recreation_claude_v2_2!M142,recreation_claude_v2_1!M142),0),"NA")</f>
        <v>1</v>
      </c>
      <c r="N142">
        <f>IF($E142 = 1,ROUND(SUM(recreation_claude_v2_5!N142,recreation_claude_v2_4!N142,recreation_claude_v2_3!N142,recreation_claude_v2_2!N142,recreation_claude_v2_1!N142)/COUNT(recreation_claude_v2_5!N142,recreation_claude_v2_4!N142,recreation_claude_v2_3!N142,recreation_claude_v2_2!N142,recreation_claude_v2_1!N142),0),"NA")</f>
        <v>1</v>
      </c>
      <c r="O142">
        <f>IF($E142 = 1,ROUND(SUM(recreation_claude_v2_5!O142,recreation_claude_v2_4!O142,recreation_claude_v2_3!O142,recreation_claude_v2_2!O142,recreation_claude_v2_1!O142)/COUNT(recreation_claude_v2_5!O142,recreation_claude_v2_4!O142,recreation_claude_v2_3!O142,recreation_claude_v2_2!O142,recreation_claude_v2_1!O142),0),"NA")</f>
        <v>1</v>
      </c>
    </row>
    <row r="143" spans="1:15" x14ac:dyDescent="0.25">
      <c r="A143" t="s">
        <v>140</v>
      </c>
      <c r="B143" t="s">
        <v>56</v>
      </c>
      <c r="C143">
        <v>0</v>
      </c>
      <c r="D143">
        <v>5.6899416446685791</v>
      </c>
      <c r="E143">
        <f>ROUND(SUM(recreation_claude_v2_5!E143,recreation_claude_v2_4!E143,recreation_claude_v2_3!E143,recreation_claude_v2_2!E143,recreation_claude_v2_1!E143)/COUNT(recreation_claude_v2_5!E143,recreation_claude_v2_4!E143,recreation_claude_v2_3!E143,recreation_claude_v2_2!E143,recreation_claude_v2_1!E143),0)</f>
        <v>1</v>
      </c>
      <c r="F143">
        <f>IF($E143 = 1,ROUND(SUM(recreation_claude_v2_5!F143,recreation_claude_v2_4!F143,recreation_claude_v2_3!F143,recreation_claude_v2_2!F143,recreation_claude_v2_1!F143)/COUNT(recreation_claude_v2_5!F143,recreation_claude_v2_4!F143,recreation_claude_v2_3!F143,recreation_claude_v2_2!F143,recreation_claude_v2_1!F143),0),"NA")</f>
        <v>1</v>
      </c>
      <c r="G143">
        <f>IF($E143 = 1,ROUND(SUM(recreation_claude_v2_5!G143,recreation_claude_v2_4!G143,recreation_claude_v2_3!G143,recreation_claude_v2_2!G143,recreation_claude_v2_1!G143)/COUNT(recreation_claude_v2_5!G143,recreation_claude_v2_4!G143,recreation_claude_v2_3!G143,recreation_claude_v2_2!G143,recreation_claude_v2_1!G143),0),"NA")</f>
        <v>0</v>
      </c>
      <c r="H143">
        <f>IF($E143 = 1,ROUND(SUM(recreation_claude_v2_5!I143,recreation_claude_v2_4!I143,recreation_claude_v2_3!I143,recreation_claude_v2_2!I143,recreation_claude_v2_1!I143)/COUNT(recreation_claude_v2_5!I143,recreation_claude_v2_4!I143,recreation_claude_v2_3!I143,recreation_claude_v2_2!I143,recreation_claude_v2_1!I143),0),"NA")</f>
        <v>1</v>
      </c>
      <c r="I143">
        <f>IF($F143 = 1,ROUND(SUM(recreation_claude_v2_5!J143,recreation_claude_v2_4!J143,recreation_claude_v2_3!J143,recreation_claude_v2_2!J143,recreation_claude_v2_1!J143)/COUNT(recreation_claude_v2_5!J143,recreation_claude_v2_4!J143,recreation_claude_v2_3!J143,recreation_claude_v2_2!J143,recreation_claude_v2_1!J143),0),"NA")</f>
        <v>1</v>
      </c>
      <c r="J143">
        <f>IF($E143 = 1,ROUND(SUM(recreation_claude_v2_5!K143,recreation_claude_v2_4!K143,recreation_claude_v2_3!K143,recreation_claude_v2_2!K143,recreation_claude_v2_1!K143)/COUNT(recreation_claude_v2_5!K143,recreation_claude_v2_4!K143,recreation_claude_v2_3!K143,recreation_claude_v2_2!K143,recreation_claude_v2_1!K143),0),"NA")</f>
        <v>1</v>
      </c>
      <c r="K143" t="str">
        <f>IF(AND($F143 = 1, $G143 = 1),ROUND(SUM(recreation_claude_v2_5!L143,recreation_claude_v2_4!L143,recreation_claude_v2_3!L143,recreation_claude_v2_2!L143,recreation_claude_v2_1!L143)/COUNT(recreation_claude_v2_5!L143,recreation_claude_v2_4!L143,recreation_claude_v2_3!L143,recreation_claude_v2_2!L143,recreation_claude_v2_1!L143),0),"NA")</f>
        <v>NA</v>
      </c>
      <c r="L143">
        <f>IF($E143 = 1,ROUND(SUM(recreation_claude_v2_5!L143,recreation_claude_v2_4!L143,recreation_claude_v2_3!L143,recreation_claude_v2_2!L143,recreation_claude_v2_1!L143)/COUNT(recreation_claude_v2_5!L143,recreation_claude_v2_4!L143,recreation_claude_v2_3!L143,recreation_claude_v2_2!L143,recreation_claude_v2_1!L143),0),"NA")</f>
        <v>1</v>
      </c>
      <c r="M143">
        <f>IF($E143 = 1,ROUND(SUM(recreation_claude_v2_5!M143,recreation_claude_v2_4!M143,recreation_claude_v2_3!M143,recreation_claude_v2_2!M143,recreation_claude_v2_1!M143)/COUNT(recreation_claude_v2_5!M143,recreation_claude_v2_4!M143,recreation_claude_v2_3!M143,recreation_claude_v2_2!M143,recreation_claude_v2_1!M143),0),"NA")</f>
        <v>1</v>
      </c>
      <c r="N143">
        <f>IF($E143 = 1,ROUND(SUM(recreation_claude_v2_5!N143,recreation_claude_v2_4!N143,recreation_claude_v2_3!N143,recreation_claude_v2_2!N143,recreation_claude_v2_1!N143)/COUNT(recreation_claude_v2_5!N143,recreation_claude_v2_4!N143,recreation_claude_v2_3!N143,recreation_claude_v2_2!N143,recreation_claude_v2_1!N143),0),"NA")</f>
        <v>1</v>
      </c>
      <c r="O143">
        <f>IF($E143 = 1,ROUND(SUM(recreation_claude_v2_5!O143,recreation_claude_v2_4!O143,recreation_claude_v2_3!O143,recreation_claude_v2_2!O143,recreation_claude_v2_1!O143)/COUNT(recreation_claude_v2_5!O143,recreation_claude_v2_4!O143,recreation_claude_v2_3!O143,recreation_claude_v2_2!O143,recreation_claude_v2_1!O143),0),"NA")</f>
        <v>1</v>
      </c>
    </row>
    <row r="144" spans="1:15" x14ac:dyDescent="0.25">
      <c r="A144" t="s">
        <v>140</v>
      </c>
      <c r="B144" t="s">
        <v>58</v>
      </c>
      <c r="C144">
        <v>0</v>
      </c>
      <c r="D144">
        <v>2.927883625030518</v>
      </c>
      <c r="E144">
        <f>ROUND(SUM(recreation_claude_v2_5!E144,recreation_claude_v2_4!E144,recreation_claude_v2_3!E144,recreation_claude_v2_2!E144,recreation_claude_v2_1!E144)/COUNT(recreation_claude_v2_5!E144,recreation_claude_v2_4!E144,recreation_claude_v2_3!E144,recreation_claude_v2_2!E144,recreation_claude_v2_1!E144),0)</f>
        <v>1</v>
      </c>
      <c r="F144">
        <f>IF($E144 = 1,ROUND(SUM(recreation_claude_v2_5!F144,recreation_claude_v2_4!F144,recreation_claude_v2_3!F144,recreation_claude_v2_2!F144,recreation_claude_v2_1!F144)/COUNT(recreation_claude_v2_5!F144,recreation_claude_v2_4!F144,recreation_claude_v2_3!F144,recreation_claude_v2_2!F144,recreation_claude_v2_1!F144),0),"NA")</f>
        <v>1</v>
      </c>
      <c r="G144">
        <f>IF($E144 = 1,ROUND(SUM(recreation_claude_v2_5!G144,recreation_claude_v2_4!G144,recreation_claude_v2_3!G144,recreation_claude_v2_2!G144,recreation_claude_v2_1!G144)/COUNT(recreation_claude_v2_5!G144,recreation_claude_v2_4!G144,recreation_claude_v2_3!G144,recreation_claude_v2_2!G144,recreation_claude_v2_1!G144),0),"NA")</f>
        <v>1</v>
      </c>
      <c r="H144">
        <f>IF($E144 = 1,ROUND(SUM(recreation_claude_v2_5!I144,recreation_claude_v2_4!I144,recreation_claude_v2_3!I144,recreation_claude_v2_2!I144,recreation_claude_v2_1!I144)/COUNT(recreation_claude_v2_5!I144,recreation_claude_v2_4!I144,recreation_claude_v2_3!I144,recreation_claude_v2_2!I144,recreation_claude_v2_1!I144),0),"NA")</f>
        <v>1</v>
      </c>
      <c r="I144">
        <f>IF($F144 = 1,ROUND(SUM(recreation_claude_v2_5!J144,recreation_claude_v2_4!J144,recreation_claude_v2_3!J144,recreation_claude_v2_2!J144,recreation_claude_v2_1!J144)/COUNT(recreation_claude_v2_5!J144,recreation_claude_v2_4!J144,recreation_claude_v2_3!J144,recreation_claude_v2_2!J144,recreation_claude_v2_1!J144),0),"NA")</f>
        <v>1</v>
      </c>
      <c r="J144">
        <f>IF($E144 = 1,ROUND(SUM(recreation_claude_v2_5!K144,recreation_claude_v2_4!K144,recreation_claude_v2_3!K144,recreation_claude_v2_2!K144,recreation_claude_v2_1!K144)/COUNT(recreation_claude_v2_5!K144,recreation_claude_v2_4!K144,recreation_claude_v2_3!K144,recreation_claude_v2_2!K144,recreation_claude_v2_1!K144),0),"NA")</f>
        <v>1</v>
      </c>
      <c r="K144">
        <f>IF(AND($F144 = 1, $G144 = 1),ROUND(SUM(recreation_claude_v2_5!L144,recreation_claude_v2_4!L144,recreation_claude_v2_3!L144,recreation_claude_v2_2!L144,recreation_claude_v2_1!L144)/COUNT(recreation_claude_v2_5!L144,recreation_claude_v2_4!L144,recreation_claude_v2_3!L144,recreation_claude_v2_2!L144,recreation_claude_v2_1!L144),0),"NA")</f>
        <v>1</v>
      </c>
      <c r="L144">
        <f>IF($E144 = 1,ROUND(SUM(recreation_claude_v2_5!L144,recreation_claude_v2_4!L144,recreation_claude_v2_3!L144,recreation_claude_v2_2!L144,recreation_claude_v2_1!L144)/COUNT(recreation_claude_v2_5!L144,recreation_claude_v2_4!L144,recreation_claude_v2_3!L144,recreation_claude_v2_2!L144,recreation_claude_v2_1!L144),0),"NA")</f>
        <v>1</v>
      </c>
      <c r="M144">
        <f>IF($E144 = 1,ROUND(SUM(recreation_claude_v2_5!M144,recreation_claude_v2_4!M144,recreation_claude_v2_3!M144,recreation_claude_v2_2!M144,recreation_claude_v2_1!M144)/COUNT(recreation_claude_v2_5!M144,recreation_claude_v2_4!M144,recreation_claude_v2_3!M144,recreation_claude_v2_2!M144,recreation_claude_v2_1!M144),0),"NA")</f>
        <v>1</v>
      </c>
      <c r="N144">
        <f>IF($E144 = 1,ROUND(SUM(recreation_claude_v2_5!N144,recreation_claude_v2_4!N144,recreation_claude_v2_3!N144,recreation_claude_v2_2!N144,recreation_claude_v2_1!N144)/COUNT(recreation_claude_v2_5!N144,recreation_claude_v2_4!N144,recreation_claude_v2_3!N144,recreation_claude_v2_2!N144,recreation_claude_v2_1!N144),0),"NA")</f>
        <v>1</v>
      </c>
      <c r="O144">
        <f>IF($E144 = 1,ROUND(SUM(recreation_claude_v2_5!O144,recreation_claude_v2_4!O144,recreation_claude_v2_3!O144,recreation_claude_v2_2!O144,recreation_claude_v2_1!O144)/COUNT(recreation_claude_v2_5!O144,recreation_claude_v2_4!O144,recreation_claude_v2_3!O144,recreation_claude_v2_2!O144,recreation_claude_v2_1!O144),0),"NA")</f>
        <v>1</v>
      </c>
    </row>
    <row r="145" spans="1:15" x14ac:dyDescent="0.25">
      <c r="A145" t="s">
        <v>140</v>
      </c>
      <c r="B145" t="s">
        <v>60</v>
      </c>
      <c r="C145">
        <v>0</v>
      </c>
      <c r="D145">
        <v>10.082767486572269</v>
      </c>
      <c r="E145">
        <f>ROUND(SUM(recreation_claude_v2_5!E145,recreation_claude_v2_4!E145,recreation_claude_v2_3!E145,recreation_claude_v2_2!E145,recreation_claude_v2_1!E145)/COUNT(recreation_claude_v2_5!E145,recreation_claude_v2_4!E145,recreation_claude_v2_3!E145,recreation_claude_v2_2!E145,recreation_claude_v2_1!E145),0)</f>
        <v>1</v>
      </c>
      <c r="F145">
        <f>IF($E145 = 1,ROUND(SUM(recreation_claude_v2_5!F145,recreation_claude_v2_4!F145,recreation_claude_v2_3!F145,recreation_claude_v2_2!F145,recreation_claude_v2_1!F145)/COUNT(recreation_claude_v2_5!F145,recreation_claude_v2_4!F145,recreation_claude_v2_3!F145,recreation_claude_v2_2!F145,recreation_claude_v2_1!F145),0),"NA")</f>
        <v>1</v>
      </c>
      <c r="G145">
        <f>IF($E145 = 1,ROUND(SUM(recreation_claude_v2_5!G145,recreation_claude_v2_4!G145,recreation_claude_v2_3!G145,recreation_claude_v2_2!G145,recreation_claude_v2_1!G145)/COUNT(recreation_claude_v2_5!G145,recreation_claude_v2_4!G145,recreation_claude_v2_3!G145,recreation_claude_v2_2!G145,recreation_claude_v2_1!G145),0),"NA")</f>
        <v>1</v>
      </c>
      <c r="H145">
        <f>IF($E145 = 1,ROUND(SUM(recreation_claude_v2_5!I145,recreation_claude_v2_4!I145,recreation_claude_v2_3!I145,recreation_claude_v2_2!I145,recreation_claude_v2_1!I145)/COUNT(recreation_claude_v2_5!I145,recreation_claude_v2_4!I145,recreation_claude_v2_3!I145,recreation_claude_v2_2!I145,recreation_claude_v2_1!I145),0),"NA")</f>
        <v>1</v>
      </c>
      <c r="I145">
        <f>IF($F145 = 1,ROUND(SUM(recreation_claude_v2_5!J145,recreation_claude_v2_4!J145,recreation_claude_v2_3!J145,recreation_claude_v2_2!J145,recreation_claude_v2_1!J145)/COUNT(recreation_claude_v2_5!J145,recreation_claude_v2_4!J145,recreation_claude_v2_3!J145,recreation_claude_v2_2!J145,recreation_claude_v2_1!J145),0),"NA")</f>
        <v>1</v>
      </c>
      <c r="J145">
        <f>IF($E145 = 1,ROUND(SUM(recreation_claude_v2_5!K145,recreation_claude_v2_4!K145,recreation_claude_v2_3!K145,recreation_claude_v2_2!K145,recreation_claude_v2_1!K145)/COUNT(recreation_claude_v2_5!K145,recreation_claude_v2_4!K145,recreation_claude_v2_3!K145,recreation_claude_v2_2!K145,recreation_claude_v2_1!K145),0),"NA")</f>
        <v>1</v>
      </c>
      <c r="K145">
        <f>IF(AND($F145 = 1, $G145 = 1),ROUND(SUM(recreation_claude_v2_5!L145,recreation_claude_v2_4!L145,recreation_claude_v2_3!L145,recreation_claude_v2_2!L145,recreation_claude_v2_1!L145)/COUNT(recreation_claude_v2_5!L145,recreation_claude_v2_4!L145,recreation_claude_v2_3!L145,recreation_claude_v2_2!L145,recreation_claude_v2_1!L145),0),"NA")</f>
        <v>1</v>
      </c>
      <c r="L145">
        <f>IF($E145 = 1,ROUND(SUM(recreation_claude_v2_5!L145,recreation_claude_v2_4!L145,recreation_claude_v2_3!L145,recreation_claude_v2_2!L145,recreation_claude_v2_1!L145)/COUNT(recreation_claude_v2_5!L145,recreation_claude_v2_4!L145,recreation_claude_v2_3!L145,recreation_claude_v2_2!L145,recreation_claude_v2_1!L145),0),"NA")</f>
        <v>1</v>
      </c>
      <c r="M145">
        <f>IF($E145 = 1,ROUND(SUM(recreation_claude_v2_5!M145,recreation_claude_v2_4!M145,recreation_claude_v2_3!M145,recreation_claude_v2_2!M145,recreation_claude_v2_1!M145)/COUNT(recreation_claude_v2_5!M145,recreation_claude_v2_4!M145,recreation_claude_v2_3!M145,recreation_claude_v2_2!M145,recreation_claude_v2_1!M145),0),"NA")</f>
        <v>1</v>
      </c>
      <c r="N145">
        <f>IF($E145 = 1,ROUND(SUM(recreation_claude_v2_5!N145,recreation_claude_v2_4!N145,recreation_claude_v2_3!N145,recreation_claude_v2_2!N145,recreation_claude_v2_1!N145)/COUNT(recreation_claude_v2_5!N145,recreation_claude_v2_4!N145,recreation_claude_v2_3!N145,recreation_claude_v2_2!N145,recreation_claude_v2_1!N145),0),"NA")</f>
        <v>1</v>
      </c>
      <c r="O145">
        <f>IF($E145 = 1,ROUND(SUM(recreation_claude_v2_5!O145,recreation_claude_v2_4!O145,recreation_claude_v2_3!O145,recreation_claude_v2_2!O145,recreation_claude_v2_1!O145)/COUNT(recreation_claude_v2_5!O145,recreation_claude_v2_4!O145,recreation_claude_v2_3!O145,recreation_claude_v2_2!O145,recreation_claude_v2_1!O145),0),"NA")</f>
        <v>1</v>
      </c>
    </row>
    <row r="146" spans="1:15" x14ac:dyDescent="0.25">
      <c r="A146" t="s">
        <v>140</v>
      </c>
      <c r="B146" t="s">
        <v>62</v>
      </c>
      <c r="C146">
        <v>0</v>
      </c>
      <c r="D146">
        <v>8.7858917713165283</v>
      </c>
      <c r="E146">
        <f>ROUND(SUM(recreation_claude_v2_5!E146,recreation_claude_v2_4!E146,recreation_claude_v2_3!E146,recreation_claude_v2_2!E146,recreation_claude_v2_1!E146)/COUNT(recreation_claude_v2_5!E146,recreation_claude_v2_4!E146,recreation_claude_v2_3!E146,recreation_claude_v2_2!E146,recreation_claude_v2_1!E146),0)</f>
        <v>1</v>
      </c>
      <c r="F146">
        <f>IF($E146 = 1,ROUND(SUM(recreation_claude_v2_5!F146,recreation_claude_v2_4!F146,recreation_claude_v2_3!F146,recreation_claude_v2_2!F146,recreation_claude_v2_1!F146)/COUNT(recreation_claude_v2_5!F146,recreation_claude_v2_4!F146,recreation_claude_v2_3!F146,recreation_claude_v2_2!F146,recreation_claude_v2_1!F146),0),"NA")</f>
        <v>1</v>
      </c>
      <c r="G146">
        <f>IF($E146 = 1,ROUND(SUM(recreation_claude_v2_5!G146,recreation_claude_v2_4!G146,recreation_claude_v2_3!G146,recreation_claude_v2_2!G146,recreation_claude_v2_1!G146)/COUNT(recreation_claude_v2_5!G146,recreation_claude_v2_4!G146,recreation_claude_v2_3!G146,recreation_claude_v2_2!G146,recreation_claude_v2_1!G146),0),"NA")</f>
        <v>1</v>
      </c>
      <c r="H146">
        <f>IF($E146 = 1,ROUND(SUM(recreation_claude_v2_5!I146,recreation_claude_v2_4!I146,recreation_claude_v2_3!I146,recreation_claude_v2_2!I146,recreation_claude_v2_1!I146)/COUNT(recreation_claude_v2_5!I146,recreation_claude_v2_4!I146,recreation_claude_v2_3!I146,recreation_claude_v2_2!I146,recreation_claude_v2_1!I146),0),"NA")</f>
        <v>1</v>
      </c>
      <c r="I146">
        <f>IF($F146 = 1,ROUND(SUM(recreation_claude_v2_5!J146,recreation_claude_v2_4!J146,recreation_claude_v2_3!J146,recreation_claude_v2_2!J146,recreation_claude_v2_1!J146)/COUNT(recreation_claude_v2_5!J146,recreation_claude_v2_4!J146,recreation_claude_v2_3!J146,recreation_claude_v2_2!J146,recreation_claude_v2_1!J146),0),"NA")</f>
        <v>1</v>
      </c>
      <c r="J146">
        <f>IF($E146 = 1,ROUND(SUM(recreation_claude_v2_5!K146,recreation_claude_v2_4!K146,recreation_claude_v2_3!K146,recreation_claude_v2_2!K146,recreation_claude_v2_1!K146)/COUNT(recreation_claude_v2_5!K146,recreation_claude_v2_4!K146,recreation_claude_v2_3!K146,recreation_claude_v2_2!K146,recreation_claude_v2_1!K146),0),"NA")</f>
        <v>1</v>
      </c>
      <c r="K146">
        <f>IF(AND($F146 = 1, $G146 = 1),ROUND(SUM(recreation_claude_v2_5!L146,recreation_claude_v2_4!L146,recreation_claude_v2_3!L146,recreation_claude_v2_2!L146,recreation_claude_v2_1!L146)/COUNT(recreation_claude_v2_5!L146,recreation_claude_v2_4!L146,recreation_claude_v2_3!L146,recreation_claude_v2_2!L146,recreation_claude_v2_1!L146),0),"NA")</f>
        <v>1</v>
      </c>
      <c r="L146">
        <f>IF($E146 = 1,ROUND(SUM(recreation_claude_v2_5!L146,recreation_claude_v2_4!L146,recreation_claude_v2_3!L146,recreation_claude_v2_2!L146,recreation_claude_v2_1!L146)/COUNT(recreation_claude_v2_5!L146,recreation_claude_v2_4!L146,recreation_claude_v2_3!L146,recreation_claude_v2_2!L146,recreation_claude_v2_1!L146),0),"NA")</f>
        <v>1</v>
      </c>
      <c r="M146">
        <f>IF($E146 = 1,ROUND(SUM(recreation_claude_v2_5!M146,recreation_claude_v2_4!M146,recreation_claude_v2_3!M146,recreation_claude_v2_2!M146,recreation_claude_v2_1!M146)/COUNT(recreation_claude_v2_5!M146,recreation_claude_v2_4!M146,recreation_claude_v2_3!M146,recreation_claude_v2_2!M146,recreation_claude_v2_1!M146),0),"NA")</f>
        <v>1</v>
      </c>
      <c r="N146">
        <f>IF($E146 = 1,ROUND(SUM(recreation_claude_v2_5!N146,recreation_claude_v2_4!N146,recreation_claude_v2_3!N146,recreation_claude_v2_2!N146,recreation_claude_v2_1!N146)/COUNT(recreation_claude_v2_5!N146,recreation_claude_v2_4!N146,recreation_claude_v2_3!N146,recreation_claude_v2_2!N146,recreation_claude_v2_1!N146),0),"NA")</f>
        <v>1</v>
      </c>
      <c r="O146">
        <f>IF($E146 = 1,ROUND(SUM(recreation_claude_v2_5!O146,recreation_claude_v2_4!O146,recreation_claude_v2_3!O146,recreation_claude_v2_2!O146,recreation_claude_v2_1!O146)/COUNT(recreation_claude_v2_5!O146,recreation_claude_v2_4!O146,recreation_claude_v2_3!O146,recreation_claude_v2_2!O146,recreation_claude_v2_1!O146),0),"NA")</f>
        <v>1</v>
      </c>
    </row>
    <row r="147" spans="1:15" x14ac:dyDescent="0.25">
      <c r="A147" t="s">
        <v>140</v>
      </c>
      <c r="B147" t="s">
        <v>64</v>
      </c>
      <c r="C147">
        <v>0</v>
      </c>
      <c r="D147">
        <v>8.1232137680053711</v>
      </c>
      <c r="E147">
        <f>ROUND(SUM(recreation_claude_v2_5!E147,recreation_claude_v2_4!E147,recreation_claude_v2_3!E147,recreation_claude_v2_2!E147,recreation_claude_v2_1!E147)/COUNT(recreation_claude_v2_5!E147,recreation_claude_v2_4!E147,recreation_claude_v2_3!E147,recreation_claude_v2_2!E147,recreation_claude_v2_1!E147),0)</f>
        <v>1</v>
      </c>
      <c r="F147">
        <f>IF($E147 = 1,ROUND(SUM(recreation_claude_v2_5!F147,recreation_claude_v2_4!F147,recreation_claude_v2_3!F147,recreation_claude_v2_2!F147,recreation_claude_v2_1!F147)/COUNT(recreation_claude_v2_5!F147,recreation_claude_v2_4!F147,recreation_claude_v2_3!F147,recreation_claude_v2_2!F147,recreation_claude_v2_1!F147),0),"NA")</f>
        <v>0</v>
      </c>
      <c r="G147">
        <f>IF($E147 = 1,ROUND(SUM(recreation_claude_v2_5!G147,recreation_claude_v2_4!G147,recreation_claude_v2_3!G147,recreation_claude_v2_2!G147,recreation_claude_v2_1!G147)/COUNT(recreation_claude_v2_5!G147,recreation_claude_v2_4!G147,recreation_claude_v2_3!G147,recreation_claude_v2_2!G147,recreation_claude_v2_1!G147),0),"NA")</f>
        <v>1</v>
      </c>
      <c r="H147">
        <f>IF($E147 = 1,ROUND(SUM(recreation_claude_v2_5!I147,recreation_claude_v2_4!I147,recreation_claude_v2_3!I147,recreation_claude_v2_2!I147,recreation_claude_v2_1!I147)/COUNT(recreation_claude_v2_5!I147,recreation_claude_v2_4!I147,recreation_claude_v2_3!I147,recreation_claude_v2_2!I147,recreation_claude_v2_1!I147),0),"NA")</f>
        <v>1</v>
      </c>
      <c r="I147" t="str">
        <f>IF($F147 = 1,ROUND(SUM(recreation_claude_v2_5!J147,recreation_claude_v2_4!J147,recreation_claude_v2_3!J147,recreation_claude_v2_2!J147,recreation_claude_v2_1!J147)/COUNT(recreation_claude_v2_5!J147,recreation_claude_v2_4!J147,recreation_claude_v2_3!J147,recreation_claude_v2_2!J147,recreation_claude_v2_1!J147),0),"NA")</f>
        <v>NA</v>
      </c>
      <c r="J147">
        <f>IF($E147 = 1,ROUND(SUM(recreation_claude_v2_5!K147,recreation_claude_v2_4!K147,recreation_claude_v2_3!K147,recreation_claude_v2_2!K147,recreation_claude_v2_1!K147)/COUNT(recreation_claude_v2_5!K147,recreation_claude_v2_4!K147,recreation_claude_v2_3!K147,recreation_claude_v2_2!K147,recreation_claude_v2_1!K147),0),"NA")</f>
        <v>1</v>
      </c>
      <c r="K147" t="str">
        <f>IF(AND($F147 = 1, $G147 = 1),ROUND(SUM(recreation_claude_v2_5!L147,recreation_claude_v2_4!L147,recreation_claude_v2_3!L147,recreation_claude_v2_2!L147,recreation_claude_v2_1!L147)/COUNT(recreation_claude_v2_5!L147,recreation_claude_v2_4!L147,recreation_claude_v2_3!L147,recreation_claude_v2_2!L147,recreation_claude_v2_1!L147),0),"NA")</f>
        <v>NA</v>
      </c>
      <c r="L147">
        <f>IF($E147 = 1,ROUND(SUM(recreation_claude_v2_5!L147,recreation_claude_v2_4!L147,recreation_claude_v2_3!L147,recreation_claude_v2_2!L147,recreation_claude_v2_1!L147)/COUNT(recreation_claude_v2_5!L147,recreation_claude_v2_4!L147,recreation_claude_v2_3!L147,recreation_claude_v2_2!L147,recreation_claude_v2_1!L147),0),"NA")</f>
        <v>1</v>
      </c>
      <c r="M147">
        <f>IF($E147 = 1,ROUND(SUM(recreation_claude_v2_5!M147,recreation_claude_v2_4!M147,recreation_claude_v2_3!M147,recreation_claude_v2_2!M147,recreation_claude_v2_1!M147)/COUNT(recreation_claude_v2_5!M147,recreation_claude_v2_4!M147,recreation_claude_v2_3!M147,recreation_claude_v2_2!M147,recreation_claude_v2_1!M147),0),"NA")</f>
        <v>1</v>
      </c>
      <c r="N147">
        <f>IF($E147 = 1,ROUND(SUM(recreation_claude_v2_5!N147,recreation_claude_v2_4!N147,recreation_claude_v2_3!N147,recreation_claude_v2_2!N147,recreation_claude_v2_1!N147)/COUNT(recreation_claude_v2_5!N147,recreation_claude_v2_4!N147,recreation_claude_v2_3!N147,recreation_claude_v2_2!N147,recreation_claude_v2_1!N147),0),"NA")</f>
        <v>1</v>
      </c>
      <c r="O147">
        <f>IF($E147 = 1,ROUND(SUM(recreation_claude_v2_5!O147,recreation_claude_v2_4!O147,recreation_claude_v2_3!O147,recreation_claude_v2_2!O147,recreation_claude_v2_1!O147)/COUNT(recreation_claude_v2_5!O147,recreation_claude_v2_4!O147,recreation_claude_v2_3!O147,recreation_claude_v2_2!O147,recreation_claude_v2_1!O147),0),"NA")</f>
        <v>1</v>
      </c>
    </row>
    <row r="148" spans="1:15" x14ac:dyDescent="0.25">
      <c r="A148" t="s">
        <v>140</v>
      </c>
      <c r="B148" t="s">
        <v>66</v>
      </c>
      <c r="C148">
        <v>0</v>
      </c>
      <c r="D148">
        <v>2.8525722026824951</v>
      </c>
      <c r="E148">
        <f>ROUND(SUM(recreation_claude_v2_5!E148,recreation_claude_v2_4!E148,recreation_claude_v2_3!E148,recreation_claude_v2_2!E148,recreation_claude_v2_1!E148)/COUNT(recreation_claude_v2_5!E148,recreation_claude_v2_4!E148,recreation_claude_v2_3!E148,recreation_claude_v2_2!E148,recreation_claude_v2_1!E148),0)</f>
        <v>1</v>
      </c>
      <c r="F148">
        <f>IF($E148 = 1,ROUND(SUM(recreation_claude_v2_5!F148,recreation_claude_v2_4!F148,recreation_claude_v2_3!F148,recreation_claude_v2_2!F148,recreation_claude_v2_1!F148)/COUNT(recreation_claude_v2_5!F148,recreation_claude_v2_4!F148,recreation_claude_v2_3!F148,recreation_claude_v2_2!F148,recreation_claude_v2_1!F148),0),"NA")</f>
        <v>1</v>
      </c>
      <c r="G148">
        <f>IF($E148 = 1,ROUND(SUM(recreation_claude_v2_5!G148,recreation_claude_v2_4!G148,recreation_claude_v2_3!G148,recreation_claude_v2_2!G148,recreation_claude_v2_1!G148)/COUNT(recreation_claude_v2_5!G148,recreation_claude_v2_4!G148,recreation_claude_v2_3!G148,recreation_claude_v2_2!G148,recreation_claude_v2_1!G148),0),"NA")</f>
        <v>1</v>
      </c>
      <c r="H148">
        <f>IF($E148 = 1,ROUND(SUM(recreation_claude_v2_5!I148,recreation_claude_v2_4!I148,recreation_claude_v2_3!I148,recreation_claude_v2_2!I148,recreation_claude_v2_1!I148)/COUNT(recreation_claude_v2_5!I148,recreation_claude_v2_4!I148,recreation_claude_v2_3!I148,recreation_claude_v2_2!I148,recreation_claude_v2_1!I148),0),"NA")</f>
        <v>1</v>
      </c>
      <c r="I148">
        <f>IF($F148 = 1,ROUND(SUM(recreation_claude_v2_5!J148,recreation_claude_v2_4!J148,recreation_claude_v2_3!J148,recreation_claude_v2_2!J148,recreation_claude_v2_1!J148)/COUNT(recreation_claude_v2_5!J148,recreation_claude_v2_4!J148,recreation_claude_v2_3!J148,recreation_claude_v2_2!J148,recreation_claude_v2_1!J148),0),"NA")</f>
        <v>1</v>
      </c>
      <c r="J148">
        <f>IF($E148 = 1,ROUND(SUM(recreation_claude_v2_5!K148,recreation_claude_v2_4!K148,recreation_claude_v2_3!K148,recreation_claude_v2_2!K148,recreation_claude_v2_1!K148)/COUNT(recreation_claude_v2_5!K148,recreation_claude_v2_4!K148,recreation_claude_v2_3!K148,recreation_claude_v2_2!K148,recreation_claude_v2_1!K148),0),"NA")</f>
        <v>1</v>
      </c>
      <c r="K148">
        <f>IF(AND($F148 = 1, $G148 = 1),ROUND(SUM(recreation_claude_v2_5!L148,recreation_claude_v2_4!L148,recreation_claude_v2_3!L148,recreation_claude_v2_2!L148,recreation_claude_v2_1!L148)/COUNT(recreation_claude_v2_5!L148,recreation_claude_v2_4!L148,recreation_claude_v2_3!L148,recreation_claude_v2_2!L148,recreation_claude_v2_1!L148),0),"NA")</f>
        <v>1</v>
      </c>
      <c r="L148">
        <f>IF($E148 = 1,ROUND(SUM(recreation_claude_v2_5!L148,recreation_claude_v2_4!L148,recreation_claude_v2_3!L148,recreation_claude_v2_2!L148,recreation_claude_v2_1!L148)/COUNT(recreation_claude_v2_5!L148,recreation_claude_v2_4!L148,recreation_claude_v2_3!L148,recreation_claude_v2_2!L148,recreation_claude_v2_1!L148),0),"NA")</f>
        <v>1</v>
      </c>
      <c r="M148">
        <f>IF($E148 = 1,ROUND(SUM(recreation_claude_v2_5!M148,recreation_claude_v2_4!M148,recreation_claude_v2_3!M148,recreation_claude_v2_2!M148,recreation_claude_v2_1!M148)/COUNT(recreation_claude_v2_5!M148,recreation_claude_v2_4!M148,recreation_claude_v2_3!M148,recreation_claude_v2_2!M148,recreation_claude_v2_1!M148),0),"NA")</f>
        <v>1</v>
      </c>
      <c r="N148">
        <f>IF($E148 = 1,ROUND(SUM(recreation_claude_v2_5!N148,recreation_claude_v2_4!N148,recreation_claude_v2_3!N148,recreation_claude_v2_2!N148,recreation_claude_v2_1!N148)/COUNT(recreation_claude_v2_5!N148,recreation_claude_v2_4!N148,recreation_claude_v2_3!N148,recreation_claude_v2_2!N148,recreation_claude_v2_1!N148),0),"NA")</f>
        <v>1</v>
      </c>
      <c r="O148">
        <f>IF($E148 = 1,ROUND(SUM(recreation_claude_v2_5!O148,recreation_claude_v2_4!O148,recreation_claude_v2_3!O148,recreation_claude_v2_2!O148,recreation_claude_v2_1!O148)/COUNT(recreation_claude_v2_5!O148,recreation_claude_v2_4!O148,recreation_claude_v2_3!O148,recreation_claude_v2_2!O148,recreation_claude_v2_1!O148),0),"NA")</f>
        <v>1</v>
      </c>
    </row>
    <row r="149" spans="1:15" x14ac:dyDescent="0.25">
      <c r="A149" t="s">
        <v>140</v>
      </c>
      <c r="B149" t="s">
        <v>67</v>
      </c>
      <c r="C149">
        <v>0</v>
      </c>
      <c r="D149">
        <v>9.5817484855651855</v>
      </c>
      <c r="E149">
        <f>ROUND(SUM(recreation_claude_v2_5!E149,recreation_claude_v2_4!E149,recreation_claude_v2_3!E149,recreation_claude_v2_2!E149,recreation_claude_v2_1!E149)/COUNT(recreation_claude_v2_5!E149,recreation_claude_v2_4!E149,recreation_claude_v2_3!E149,recreation_claude_v2_2!E149,recreation_claude_v2_1!E149),0)</f>
        <v>1</v>
      </c>
      <c r="F149">
        <f>IF($E149 = 1,ROUND(SUM(recreation_claude_v2_5!F149,recreation_claude_v2_4!F149,recreation_claude_v2_3!F149,recreation_claude_v2_2!F149,recreation_claude_v2_1!F149)/COUNT(recreation_claude_v2_5!F149,recreation_claude_v2_4!F149,recreation_claude_v2_3!F149,recreation_claude_v2_2!F149,recreation_claude_v2_1!F149),0),"NA")</f>
        <v>1</v>
      </c>
      <c r="G149">
        <f>IF($E149 = 1,ROUND(SUM(recreation_claude_v2_5!G149,recreation_claude_v2_4!G149,recreation_claude_v2_3!G149,recreation_claude_v2_2!G149,recreation_claude_v2_1!G149)/COUNT(recreation_claude_v2_5!G149,recreation_claude_v2_4!G149,recreation_claude_v2_3!G149,recreation_claude_v2_2!G149,recreation_claude_v2_1!G149),0),"NA")</f>
        <v>1</v>
      </c>
      <c r="H149">
        <f>IF($E149 = 1,ROUND(SUM(recreation_claude_v2_5!I149,recreation_claude_v2_4!I149,recreation_claude_v2_3!I149,recreation_claude_v2_2!I149,recreation_claude_v2_1!I149)/COUNT(recreation_claude_v2_5!I149,recreation_claude_v2_4!I149,recreation_claude_v2_3!I149,recreation_claude_v2_2!I149,recreation_claude_v2_1!I149),0),"NA")</f>
        <v>1</v>
      </c>
      <c r="I149">
        <f>IF($F149 = 1,ROUND(SUM(recreation_claude_v2_5!J149,recreation_claude_v2_4!J149,recreation_claude_v2_3!J149,recreation_claude_v2_2!J149,recreation_claude_v2_1!J149)/COUNT(recreation_claude_v2_5!J149,recreation_claude_v2_4!J149,recreation_claude_v2_3!J149,recreation_claude_v2_2!J149,recreation_claude_v2_1!J149),0),"NA")</f>
        <v>1</v>
      </c>
      <c r="J149">
        <f>IF($E149 = 1,ROUND(SUM(recreation_claude_v2_5!K149,recreation_claude_v2_4!K149,recreation_claude_v2_3!K149,recreation_claude_v2_2!K149,recreation_claude_v2_1!K149)/COUNT(recreation_claude_v2_5!K149,recreation_claude_v2_4!K149,recreation_claude_v2_3!K149,recreation_claude_v2_2!K149,recreation_claude_v2_1!K149),0),"NA")</f>
        <v>1</v>
      </c>
      <c r="K149">
        <f>IF(AND($F149 = 1, $G149 = 1),ROUND(SUM(recreation_claude_v2_5!L149,recreation_claude_v2_4!L149,recreation_claude_v2_3!L149,recreation_claude_v2_2!L149,recreation_claude_v2_1!L149)/COUNT(recreation_claude_v2_5!L149,recreation_claude_v2_4!L149,recreation_claude_v2_3!L149,recreation_claude_v2_2!L149,recreation_claude_v2_1!L149),0),"NA")</f>
        <v>1</v>
      </c>
      <c r="L149">
        <f>IF($E149 = 1,ROUND(SUM(recreation_claude_v2_5!L149,recreation_claude_v2_4!L149,recreation_claude_v2_3!L149,recreation_claude_v2_2!L149,recreation_claude_v2_1!L149)/COUNT(recreation_claude_v2_5!L149,recreation_claude_v2_4!L149,recreation_claude_v2_3!L149,recreation_claude_v2_2!L149,recreation_claude_v2_1!L149),0),"NA")</f>
        <v>1</v>
      </c>
      <c r="M149">
        <f>IF($E149 = 1,ROUND(SUM(recreation_claude_v2_5!M149,recreation_claude_v2_4!M149,recreation_claude_v2_3!M149,recreation_claude_v2_2!M149,recreation_claude_v2_1!M149)/COUNT(recreation_claude_v2_5!M149,recreation_claude_v2_4!M149,recreation_claude_v2_3!M149,recreation_claude_v2_2!M149,recreation_claude_v2_1!M149),0),"NA")</f>
        <v>1</v>
      </c>
      <c r="N149">
        <f>IF($E149 = 1,ROUND(SUM(recreation_claude_v2_5!N149,recreation_claude_v2_4!N149,recreation_claude_v2_3!N149,recreation_claude_v2_2!N149,recreation_claude_v2_1!N149)/COUNT(recreation_claude_v2_5!N149,recreation_claude_v2_4!N149,recreation_claude_v2_3!N149,recreation_claude_v2_2!N149,recreation_claude_v2_1!N149),0),"NA")</f>
        <v>1</v>
      </c>
      <c r="O149">
        <f>IF($E149 = 1,ROUND(SUM(recreation_claude_v2_5!O149,recreation_claude_v2_4!O149,recreation_claude_v2_3!O149,recreation_claude_v2_2!O149,recreation_claude_v2_1!O149)/COUNT(recreation_claude_v2_5!O149,recreation_claude_v2_4!O149,recreation_claude_v2_3!O149,recreation_claude_v2_2!O149,recreation_claude_v2_1!O149),0),"NA")</f>
        <v>1</v>
      </c>
    </row>
    <row r="150" spans="1:15" x14ac:dyDescent="0.25">
      <c r="A150" t="s">
        <v>140</v>
      </c>
      <c r="B150" t="s">
        <v>69</v>
      </c>
      <c r="C150">
        <v>0</v>
      </c>
      <c r="D150">
        <v>9.2857153415679932</v>
      </c>
      <c r="E150">
        <f>ROUND(SUM(recreation_claude_v2_5!E150,recreation_claude_v2_4!E150,recreation_claude_v2_3!E150,recreation_claude_v2_2!E150,recreation_claude_v2_1!E150)/COUNT(recreation_claude_v2_5!E150,recreation_claude_v2_4!E150,recreation_claude_v2_3!E150,recreation_claude_v2_2!E150,recreation_claude_v2_1!E150),0)</f>
        <v>1</v>
      </c>
      <c r="F150">
        <f>IF($E150 = 1,ROUND(SUM(recreation_claude_v2_5!F150,recreation_claude_v2_4!F150,recreation_claude_v2_3!F150,recreation_claude_v2_2!F150,recreation_claude_v2_1!F150)/COUNT(recreation_claude_v2_5!F150,recreation_claude_v2_4!F150,recreation_claude_v2_3!F150,recreation_claude_v2_2!F150,recreation_claude_v2_1!F150),0),"NA")</f>
        <v>1</v>
      </c>
      <c r="G150">
        <f>IF($E150 = 1,ROUND(SUM(recreation_claude_v2_5!G150,recreation_claude_v2_4!G150,recreation_claude_v2_3!G150,recreation_claude_v2_2!G150,recreation_claude_v2_1!G150)/COUNT(recreation_claude_v2_5!G150,recreation_claude_v2_4!G150,recreation_claude_v2_3!G150,recreation_claude_v2_2!G150,recreation_claude_v2_1!G150),0),"NA")</f>
        <v>1</v>
      </c>
      <c r="H150">
        <f>IF($E150 = 1,ROUND(SUM(recreation_claude_v2_5!I150,recreation_claude_v2_4!I150,recreation_claude_v2_3!I150,recreation_claude_v2_2!I150,recreation_claude_v2_1!I150)/COUNT(recreation_claude_v2_5!I150,recreation_claude_v2_4!I150,recreation_claude_v2_3!I150,recreation_claude_v2_2!I150,recreation_claude_v2_1!I150),0),"NA")</f>
        <v>1</v>
      </c>
      <c r="I150">
        <f>IF($F150 = 1,ROUND(SUM(recreation_claude_v2_5!J150,recreation_claude_v2_4!J150,recreation_claude_v2_3!J150,recreation_claude_v2_2!J150,recreation_claude_v2_1!J150)/COUNT(recreation_claude_v2_5!J150,recreation_claude_v2_4!J150,recreation_claude_v2_3!J150,recreation_claude_v2_2!J150,recreation_claude_v2_1!J150),0),"NA")</f>
        <v>1</v>
      </c>
      <c r="J150">
        <f>IF($E150 = 1,ROUND(SUM(recreation_claude_v2_5!K150,recreation_claude_v2_4!K150,recreation_claude_v2_3!K150,recreation_claude_v2_2!K150,recreation_claude_v2_1!K150)/COUNT(recreation_claude_v2_5!K150,recreation_claude_v2_4!K150,recreation_claude_v2_3!K150,recreation_claude_v2_2!K150,recreation_claude_v2_1!K150),0),"NA")</f>
        <v>1</v>
      </c>
      <c r="K150">
        <f>IF(AND($F150 = 1, $G150 = 1),ROUND(SUM(recreation_claude_v2_5!L150,recreation_claude_v2_4!L150,recreation_claude_v2_3!L150,recreation_claude_v2_2!L150,recreation_claude_v2_1!L150)/COUNT(recreation_claude_v2_5!L150,recreation_claude_v2_4!L150,recreation_claude_v2_3!L150,recreation_claude_v2_2!L150,recreation_claude_v2_1!L150),0),"NA")</f>
        <v>1</v>
      </c>
      <c r="L150">
        <f>IF($E150 = 1,ROUND(SUM(recreation_claude_v2_5!L150,recreation_claude_v2_4!L150,recreation_claude_v2_3!L150,recreation_claude_v2_2!L150,recreation_claude_v2_1!L150)/COUNT(recreation_claude_v2_5!L150,recreation_claude_v2_4!L150,recreation_claude_v2_3!L150,recreation_claude_v2_2!L150,recreation_claude_v2_1!L150),0),"NA")</f>
        <v>1</v>
      </c>
      <c r="M150">
        <f>IF($E150 = 1,ROUND(SUM(recreation_claude_v2_5!M150,recreation_claude_v2_4!M150,recreation_claude_v2_3!M150,recreation_claude_v2_2!M150,recreation_claude_v2_1!M150)/COUNT(recreation_claude_v2_5!M150,recreation_claude_v2_4!M150,recreation_claude_v2_3!M150,recreation_claude_v2_2!M150,recreation_claude_v2_1!M150),0),"NA")</f>
        <v>1</v>
      </c>
      <c r="N150">
        <f>IF($E150 = 1,ROUND(SUM(recreation_claude_v2_5!N150,recreation_claude_v2_4!N150,recreation_claude_v2_3!N150,recreation_claude_v2_2!N150,recreation_claude_v2_1!N150)/COUNT(recreation_claude_v2_5!N150,recreation_claude_v2_4!N150,recreation_claude_v2_3!N150,recreation_claude_v2_2!N150,recreation_claude_v2_1!N150),0),"NA")</f>
        <v>1</v>
      </c>
      <c r="O150">
        <f>IF($E150 = 1,ROUND(SUM(recreation_claude_v2_5!O150,recreation_claude_v2_4!O150,recreation_claude_v2_3!O150,recreation_claude_v2_2!O150,recreation_claude_v2_1!O150)/COUNT(recreation_claude_v2_5!O150,recreation_claude_v2_4!O150,recreation_claude_v2_3!O150,recreation_claude_v2_2!O150,recreation_claude_v2_1!O150),0),"NA")</f>
        <v>1</v>
      </c>
    </row>
    <row r="151" spans="1:15" x14ac:dyDescent="0.25">
      <c r="A151" t="s">
        <v>140</v>
      </c>
      <c r="B151" t="s">
        <v>70</v>
      </c>
      <c r="C151">
        <v>0</v>
      </c>
      <c r="D151">
        <v>10.122372150421141</v>
      </c>
      <c r="E151">
        <f>ROUND(SUM(recreation_claude_v2_5!E151,recreation_claude_v2_4!E151,recreation_claude_v2_3!E151,recreation_claude_v2_2!E151,recreation_claude_v2_1!E151)/COUNT(recreation_claude_v2_5!E151,recreation_claude_v2_4!E151,recreation_claude_v2_3!E151,recreation_claude_v2_2!E151,recreation_claude_v2_1!E151),0)</f>
        <v>1</v>
      </c>
      <c r="F151">
        <f>IF($E151 = 1,ROUND(SUM(recreation_claude_v2_5!F151,recreation_claude_v2_4!F151,recreation_claude_v2_3!F151,recreation_claude_v2_2!F151,recreation_claude_v2_1!F151)/COUNT(recreation_claude_v2_5!F151,recreation_claude_v2_4!F151,recreation_claude_v2_3!F151,recreation_claude_v2_2!F151,recreation_claude_v2_1!F151),0),"NA")</f>
        <v>1</v>
      </c>
      <c r="G151">
        <f>IF($E151 = 1,ROUND(SUM(recreation_claude_v2_5!G151,recreation_claude_v2_4!G151,recreation_claude_v2_3!G151,recreation_claude_v2_2!G151,recreation_claude_v2_1!G151)/COUNT(recreation_claude_v2_5!G151,recreation_claude_v2_4!G151,recreation_claude_v2_3!G151,recreation_claude_v2_2!G151,recreation_claude_v2_1!G151),0),"NA")</f>
        <v>1</v>
      </c>
      <c r="H151">
        <f>IF($E151 = 1,ROUND(SUM(recreation_claude_v2_5!I151,recreation_claude_v2_4!I151,recreation_claude_v2_3!I151,recreation_claude_v2_2!I151,recreation_claude_v2_1!I151)/COUNT(recreation_claude_v2_5!I151,recreation_claude_v2_4!I151,recreation_claude_v2_3!I151,recreation_claude_v2_2!I151,recreation_claude_v2_1!I151),0),"NA")</f>
        <v>1</v>
      </c>
      <c r="I151">
        <f>IF($F151 = 1,ROUND(SUM(recreation_claude_v2_5!J151,recreation_claude_v2_4!J151,recreation_claude_v2_3!J151,recreation_claude_v2_2!J151,recreation_claude_v2_1!J151)/COUNT(recreation_claude_v2_5!J151,recreation_claude_v2_4!J151,recreation_claude_v2_3!J151,recreation_claude_v2_2!J151,recreation_claude_v2_1!J151),0),"NA")</f>
        <v>1</v>
      </c>
      <c r="J151">
        <f>IF($E151 = 1,ROUND(SUM(recreation_claude_v2_5!K151,recreation_claude_v2_4!K151,recreation_claude_v2_3!K151,recreation_claude_v2_2!K151,recreation_claude_v2_1!K151)/COUNT(recreation_claude_v2_5!K151,recreation_claude_v2_4!K151,recreation_claude_v2_3!K151,recreation_claude_v2_2!K151,recreation_claude_v2_1!K151),0),"NA")</f>
        <v>1</v>
      </c>
      <c r="K151">
        <f>IF(AND($F151 = 1, $G151 = 1),ROUND(SUM(recreation_claude_v2_5!L151,recreation_claude_v2_4!L151,recreation_claude_v2_3!L151,recreation_claude_v2_2!L151,recreation_claude_v2_1!L151)/COUNT(recreation_claude_v2_5!L151,recreation_claude_v2_4!L151,recreation_claude_v2_3!L151,recreation_claude_v2_2!L151,recreation_claude_v2_1!L151),0),"NA")</f>
        <v>1</v>
      </c>
      <c r="L151">
        <f>IF($E151 = 1,ROUND(SUM(recreation_claude_v2_5!L151,recreation_claude_v2_4!L151,recreation_claude_v2_3!L151,recreation_claude_v2_2!L151,recreation_claude_v2_1!L151)/COUNT(recreation_claude_v2_5!L151,recreation_claude_v2_4!L151,recreation_claude_v2_3!L151,recreation_claude_v2_2!L151,recreation_claude_v2_1!L151),0),"NA")</f>
        <v>1</v>
      </c>
      <c r="M151">
        <f>IF($E151 = 1,ROUND(SUM(recreation_claude_v2_5!M151,recreation_claude_v2_4!M151,recreation_claude_v2_3!M151,recreation_claude_v2_2!M151,recreation_claude_v2_1!M151)/COUNT(recreation_claude_v2_5!M151,recreation_claude_v2_4!M151,recreation_claude_v2_3!M151,recreation_claude_v2_2!M151,recreation_claude_v2_1!M151),0),"NA")</f>
        <v>1</v>
      </c>
      <c r="N151">
        <f>IF($E151 = 1,ROUND(SUM(recreation_claude_v2_5!N151,recreation_claude_v2_4!N151,recreation_claude_v2_3!N151,recreation_claude_v2_2!N151,recreation_claude_v2_1!N151)/COUNT(recreation_claude_v2_5!N151,recreation_claude_v2_4!N151,recreation_claude_v2_3!N151,recreation_claude_v2_2!N151,recreation_claude_v2_1!N151),0),"NA")</f>
        <v>1</v>
      </c>
      <c r="O151">
        <f>IF($E151 = 1,ROUND(SUM(recreation_claude_v2_5!O151,recreation_claude_v2_4!O151,recreation_claude_v2_3!O151,recreation_claude_v2_2!O151,recreation_claude_v2_1!O151)/COUNT(recreation_claude_v2_5!O151,recreation_claude_v2_4!O151,recreation_claude_v2_3!O151,recreation_claude_v2_2!O151,recreation_claude_v2_1!O151),0),"NA")</f>
        <v>1</v>
      </c>
    </row>
    <row r="152" spans="1:15" x14ac:dyDescent="0.25">
      <c r="A152" t="s">
        <v>140</v>
      </c>
      <c r="B152" t="s">
        <v>71</v>
      </c>
      <c r="C152">
        <v>0</v>
      </c>
      <c r="D152">
        <v>2.870563268661499</v>
      </c>
      <c r="E152">
        <f>ROUND(SUM(recreation_claude_v2_5!E152,recreation_claude_v2_4!E152,recreation_claude_v2_3!E152,recreation_claude_v2_2!E152,recreation_claude_v2_1!E152)/COUNT(recreation_claude_v2_5!E152,recreation_claude_v2_4!E152,recreation_claude_v2_3!E152,recreation_claude_v2_2!E152,recreation_claude_v2_1!E152),0)</f>
        <v>1</v>
      </c>
      <c r="F152">
        <f>IF($E152 = 1,ROUND(SUM(recreation_claude_v2_5!F152,recreation_claude_v2_4!F152,recreation_claude_v2_3!F152,recreation_claude_v2_2!F152,recreation_claude_v2_1!F152)/COUNT(recreation_claude_v2_5!F152,recreation_claude_v2_4!F152,recreation_claude_v2_3!F152,recreation_claude_v2_2!F152,recreation_claude_v2_1!F152),0),"NA")</f>
        <v>1</v>
      </c>
      <c r="G152">
        <f>IF($E152 = 1,ROUND(SUM(recreation_claude_v2_5!G152,recreation_claude_v2_4!G152,recreation_claude_v2_3!G152,recreation_claude_v2_2!G152,recreation_claude_v2_1!G152)/COUNT(recreation_claude_v2_5!G152,recreation_claude_v2_4!G152,recreation_claude_v2_3!G152,recreation_claude_v2_2!G152,recreation_claude_v2_1!G152),0),"NA")</f>
        <v>1</v>
      </c>
      <c r="H152">
        <f>IF($E152 = 1,ROUND(SUM(recreation_claude_v2_5!I152,recreation_claude_v2_4!I152,recreation_claude_v2_3!I152,recreation_claude_v2_2!I152,recreation_claude_v2_1!I152)/COUNT(recreation_claude_v2_5!I152,recreation_claude_v2_4!I152,recreation_claude_v2_3!I152,recreation_claude_v2_2!I152,recreation_claude_v2_1!I152),0),"NA")</f>
        <v>1</v>
      </c>
      <c r="I152">
        <f>IF($F152 = 1,ROUND(SUM(recreation_claude_v2_5!J152,recreation_claude_v2_4!J152,recreation_claude_v2_3!J152,recreation_claude_v2_2!J152,recreation_claude_v2_1!J152)/COUNT(recreation_claude_v2_5!J152,recreation_claude_v2_4!J152,recreation_claude_v2_3!J152,recreation_claude_v2_2!J152,recreation_claude_v2_1!J152),0),"NA")</f>
        <v>1</v>
      </c>
      <c r="J152">
        <f>IF($E152 = 1,ROUND(SUM(recreation_claude_v2_5!K152,recreation_claude_v2_4!K152,recreation_claude_v2_3!K152,recreation_claude_v2_2!K152,recreation_claude_v2_1!K152)/COUNT(recreation_claude_v2_5!K152,recreation_claude_v2_4!K152,recreation_claude_v2_3!K152,recreation_claude_v2_2!K152,recreation_claude_v2_1!K152),0),"NA")</f>
        <v>1</v>
      </c>
      <c r="K152">
        <f>IF(AND($F152 = 1, $G152 = 1),ROUND(SUM(recreation_claude_v2_5!L152,recreation_claude_v2_4!L152,recreation_claude_v2_3!L152,recreation_claude_v2_2!L152,recreation_claude_v2_1!L152)/COUNT(recreation_claude_v2_5!L152,recreation_claude_v2_4!L152,recreation_claude_v2_3!L152,recreation_claude_v2_2!L152,recreation_claude_v2_1!L152),0),"NA")</f>
        <v>1</v>
      </c>
      <c r="L152">
        <f>IF($E152 = 1,ROUND(SUM(recreation_claude_v2_5!L152,recreation_claude_v2_4!L152,recreation_claude_v2_3!L152,recreation_claude_v2_2!L152,recreation_claude_v2_1!L152)/COUNT(recreation_claude_v2_5!L152,recreation_claude_v2_4!L152,recreation_claude_v2_3!L152,recreation_claude_v2_2!L152,recreation_claude_v2_1!L152),0),"NA")</f>
        <v>1</v>
      </c>
      <c r="M152">
        <f>IF($E152 = 1,ROUND(SUM(recreation_claude_v2_5!M152,recreation_claude_v2_4!M152,recreation_claude_v2_3!M152,recreation_claude_v2_2!M152,recreation_claude_v2_1!M152)/COUNT(recreation_claude_v2_5!M152,recreation_claude_v2_4!M152,recreation_claude_v2_3!M152,recreation_claude_v2_2!M152,recreation_claude_v2_1!M152),0),"NA")</f>
        <v>1</v>
      </c>
      <c r="N152">
        <f>IF($E152 = 1,ROUND(SUM(recreation_claude_v2_5!N152,recreation_claude_v2_4!N152,recreation_claude_v2_3!N152,recreation_claude_v2_2!N152,recreation_claude_v2_1!N152)/COUNT(recreation_claude_v2_5!N152,recreation_claude_v2_4!N152,recreation_claude_v2_3!N152,recreation_claude_v2_2!N152,recreation_claude_v2_1!N152),0),"NA")</f>
        <v>1</v>
      </c>
      <c r="O152">
        <f>IF($E152 = 1,ROUND(SUM(recreation_claude_v2_5!O152,recreation_claude_v2_4!O152,recreation_claude_v2_3!O152,recreation_claude_v2_2!O152,recreation_claude_v2_1!O152)/COUNT(recreation_claude_v2_5!O152,recreation_claude_v2_4!O152,recreation_claude_v2_3!O152,recreation_claude_v2_2!O152,recreation_claude_v2_1!O152),0),"NA")</f>
        <v>1</v>
      </c>
    </row>
    <row r="153" spans="1:15" x14ac:dyDescent="0.25">
      <c r="A153" t="s">
        <v>140</v>
      </c>
      <c r="B153" t="s">
        <v>73</v>
      </c>
      <c r="C153">
        <v>0</v>
      </c>
      <c r="D153">
        <v>9.9611339569091797</v>
      </c>
      <c r="E153">
        <f>ROUND(SUM(recreation_claude_v2_5!E153,recreation_claude_v2_4!E153,recreation_claude_v2_3!E153,recreation_claude_v2_2!E153,recreation_claude_v2_1!E153)/COUNT(recreation_claude_v2_5!E153,recreation_claude_v2_4!E153,recreation_claude_v2_3!E153,recreation_claude_v2_2!E153,recreation_claude_v2_1!E153),0)</f>
        <v>1</v>
      </c>
      <c r="F153">
        <f>IF($E153 = 1,ROUND(SUM(recreation_claude_v2_5!F153,recreation_claude_v2_4!F153,recreation_claude_v2_3!F153,recreation_claude_v2_2!F153,recreation_claude_v2_1!F153)/COUNT(recreation_claude_v2_5!F153,recreation_claude_v2_4!F153,recreation_claude_v2_3!F153,recreation_claude_v2_2!F153,recreation_claude_v2_1!F153),0),"NA")</f>
        <v>1</v>
      </c>
      <c r="G153">
        <f>IF($E153 = 1,ROUND(SUM(recreation_claude_v2_5!G153,recreation_claude_v2_4!G153,recreation_claude_v2_3!G153,recreation_claude_v2_2!G153,recreation_claude_v2_1!G153)/COUNT(recreation_claude_v2_5!G153,recreation_claude_v2_4!G153,recreation_claude_v2_3!G153,recreation_claude_v2_2!G153,recreation_claude_v2_1!G153),0),"NA")</f>
        <v>1</v>
      </c>
      <c r="H153">
        <f>IF($E153 = 1,ROUND(SUM(recreation_claude_v2_5!I153,recreation_claude_v2_4!I153,recreation_claude_v2_3!I153,recreation_claude_v2_2!I153,recreation_claude_v2_1!I153)/COUNT(recreation_claude_v2_5!I153,recreation_claude_v2_4!I153,recreation_claude_v2_3!I153,recreation_claude_v2_2!I153,recreation_claude_v2_1!I153),0),"NA")</f>
        <v>1</v>
      </c>
      <c r="I153">
        <f>IF($F153 = 1,ROUND(SUM(recreation_claude_v2_5!J153,recreation_claude_v2_4!J153,recreation_claude_v2_3!J153,recreation_claude_v2_2!J153,recreation_claude_v2_1!J153)/COUNT(recreation_claude_v2_5!J153,recreation_claude_v2_4!J153,recreation_claude_v2_3!J153,recreation_claude_v2_2!J153,recreation_claude_v2_1!J153),0),"NA")</f>
        <v>1</v>
      </c>
      <c r="J153">
        <f>IF($E153 = 1,ROUND(SUM(recreation_claude_v2_5!K153,recreation_claude_v2_4!K153,recreation_claude_v2_3!K153,recreation_claude_v2_2!K153,recreation_claude_v2_1!K153)/COUNT(recreation_claude_v2_5!K153,recreation_claude_v2_4!K153,recreation_claude_v2_3!K153,recreation_claude_v2_2!K153,recreation_claude_v2_1!K153),0),"NA")</f>
        <v>1</v>
      </c>
      <c r="K153">
        <f>IF(AND($F153 = 1, $G153 = 1),ROUND(SUM(recreation_claude_v2_5!L153,recreation_claude_v2_4!L153,recreation_claude_v2_3!L153,recreation_claude_v2_2!L153,recreation_claude_v2_1!L153)/COUNT(recreation_claude_v2_5!L153,recreation_claude_v2_4!L153,recreation_claude_v2_3!L153,recreation_claude_v2_2!L153,recreation_claude_v2_1!L153),0),"NA")</f>
        <v>1</v>
      </c>
      <c r="L153">
        <f>IF($E153 = 1,ROUND(SUM(recreation_claude_v2_5!L153,recreation_claude_v2_4!L153,recreation_claude_v2_3!L153,recreation_claude_v2_2!L153,recreation_claude_v2_1!L153)/COUNT(recreation_claude_v2_5!L153,recreation_claude_v2_4!L153,recreation_claude_v2_3!L153,recreation_claude_v2_2!L153,recreation_claude_v2_1!L153),0),"NA")</f>
        <v>1</v>
      </c>
      <c r="M153">
        <f>IF($E153 = 1,ROUND(SUM(recreation_claude_v2_5!M153,recreation_claude_v2_4!M153,recreation_claude_v2_3!M153,recreation_claude_v2_2!M153,recreation_claude_v2_1!M153)/COUNT(recreation_claude_v2_5!M153,recreation_claude_v2_4!M153,recreation_claude_v2_3!M153,recreation_claude_v2_2!M153,recreation_claude_v2_1!M153),0),"NA")</f>
        <v>1</v>
      </c>
      <c r="N153">
        <f>IF($E153 = 1,ROUND(SUM(recreation_claude_v2_5!N153,recreation_claude_v2_4!N153,recreation_claude_v2_3!N153,recreation_claude_v2_2!N153,recreation_claude_v2_1!N153)/COUNT(recreation_claude_v2_5!N153,recreation_claude_v2_4!N153,recreation_claude_v2_3!N153,recreation_claude_v2_2!N153,recreation_claude_v2_1!N153),0),"NA")</f>
        <v>1</v>
      </c>
      <c r="O153">
        <f>IF($E153 = 1,ROUND(SUM(recreation_claude_v2_5!O153,recreation_claude_v2_4!O153,recreation_claude_v2_3!O153,recreation_claude_v2_2!O153,recreation_claude_v2_1!O153)/COUNT(recreation_claude_v2_5!O153,recreation_claude_v2_4!O153,recreation_claude_v2_3!O153,recreation_claude_v2_2!O153,recreation_claude_v2_1!O153),0),"NA")</f>
        <v>1</v>
      </c>
    </row>
    <row r="154" spans="1:15" x14ac:dyDescent="0.25">
      <c r="A154" t="s">
        <v>140</v>
      </c>
      <c r="B154" t="s">
        <v>75</v>
      </c>
      <c r="C154">
        <v>0</v>
      </c>
      <c r="D154">
        <v>2.8840034008026119</v>
      </c>
      <c r="E154">
        <f>ROUND(SUM(recreation_claude_v2_5!E154,recreation_claude_v2_4!E154,recreation_claude_v2_3!E154,recreation_claude_v2_2!E154,recreation_claude_v2_1!E154)/COUNT(recreation_claude_v2_5!E154,recreation_claude_v2_4!E154,recreation_claude_v2_3!E154,recreation_claude_v2_2!E154,recreation_claude_v2_1!E154),0)</f>
        <v>1</v>
      </c>
      <c r="F154">
        <f>IF($E154 = 1,ROUND(SUM(recreation_claude_v2_5!F154,recreation_claude_v2_4!F154,recreation_claude_v2_3!F154,recreation_claude_v2_2!F154,recreation_claude_v2_1!F154)/COUNT(recreation_claude_v2_5!F154,recreation_claude_v2_4!F154,recreation_claude_v2_3!F154,recreation_claude_v2_2!F154,recreation_claude_v2_1!F154),0),"NA")</f>
        <v>1</v>
      </c>
      <c r="G154">
        <f>IF($E154 = 1,ROUND(SUM(recreation_claude_v2_5!G154,recreation_claude_v2_4!G154,recreation_claude_v2_3!G154,recreation_claude_v2_2!G154,recreation_claude_v2_1!G154)/COUNT(recreation_claude_v2_5!G154,recreation_claude_v2_4!G154,recreation_claude_v2_3!G154,recreation_claude_v2_2!G154,recreation_claude_v2_1!G154),0),"NA")</f>
        <v>1</v>
      </c>
      <c r="H154">
        <f>IF($E154 = 1,ROUND(SUM(recreation_claude_v2_5!I154,recreation_claude_v2_4!I154,recreation_claude_v2_3!I154,recreation_claude_v2_2!I154,recreation_claude_v2_1!I154)/COUNT(recreation_claude_v2_5!I154,recreation_claude_v2_4!I154,recreation_claude_v2_3!I154,recreation_claude_v2_2!I154,recreation_claude_v2_1!I154),0),"NA")</f>
        <v>1</v>
      </c>
      <c r="I154">
        <f>IF($F154 = 1,ROUND(SUM(recreation_claude_v2_5!J154,recreation_claude_v2_4!J154,recreation_claude_v2_3!J154,recreation_claude_v2_2!J154,recreation_claude_v2_1!J154)/COUNT(recreation_claude_v2_5!J154,recreation_claude_v2_4!J154,recreation_claude_v2_3!J154,recreation_claude_v2_2!J154,recreation_claude_v2_1!J154),0),"NA")</f>
        <v>1</v>
      </c>
      <c r="J154">
        <f>IF($E154 = 1,ROUND(SUM(recreation_claude_v2_5!K154,recreation_claude_v2_4!K154,recreation_claude_v2_3!K154,recreation_claude_v2_2!K154,recreation_claude_v2_1!K154)/COUNT(recreation_claude_v2_5!K154,recreation_claude_v2_4!K154,recreation_claude_v2_3!K154,recreation_claude_v2_2!K154,recreation_claude_v2_1!K154),0),"NA")</f>
        <v>1</v>
      </c>
      <c r="K154">
        <f>IF(AND($F154 = 1, $G154 = 1),ROUND(SUM(recreation_claude_v2_5!L154,recreation_claude_v2_4!L154,recreation_claude_v2_3!L154,recreation_claude_v2_2!L154,recreation_claude_v2_1!L154)/COUNT(recreation_claude_v2_5!L154,recreation_claude_v2_4!L154,recreation_claude_v2_3!L154,recreation_claude_v2_2!L154,recreation_claude_v2_1!L154),0),"NA")</f>
        <v>1</v>
      </c>
      <c r="L154">
        <f>IF($E154 = 1,ROUND(SUM(recreation_claude_v2_5!L154,recreation_claude_v2_4!L154,recreation_claude_v2_3!L154,recreation_claude_v2_2!L154,recreation_claude_v2_1!L154)/COUNT(recreation_claude_v2_5!L154,recreation_claude_v2_4!L154,recreation_claude_v2_3!L154,recreation_claude_v2_2!L154,recreation_claude_v2_1!L154),0),"NA")</f>
        <v>1</v>
      </c>
      <c r="M154">
        <f>IF($E154 = 1,ROUND(SUM(recreation_claude_v2_5!M154,recreation_claude_v2_4!M154,recreation_claude_v2_3!M154,recreation_claude_v2_2!M154,recreation_claude_v2_1!M154)/COUNT(recreation_claude_v2_5!M154,recreation_claude_v2_4!M154,recreation_claude_v2_3!M154,recreation_claude_v2_2!M154,recreation_claude_v2_1!M154),0),"NA")</f>
        <v>1</v>
      </c>
      <c r="N154">
        <f>IF($E154 = 1,ROUND(SUM(recreation_claude_v2_5!N154,recreation_claude_v2_4!N154,recreation_claude_v2_3!N154,recreation_claude_v2_2!N154,recreation_claude_v2_1!N154)/COUNT(recreation_claude_v2_5!N154,recreation_claude_v2_4!N154,recreation_claude_v2_3!N154,recreation_claude_v2_2!N154,recreation_claude_v2_1!N154),0),"NA")</f>
        <v>1</v>
      </c>
      <c r="O154">
        <f>IF($E154 = 1,ROUND(SUM(recreation_claude_v2_5!O154,recreation_claude_v2_4!O154,recreation_claude_v2_3!O154,recreation_claude_v2_2!O154,recreation_claude_v2_1!O154)/COUNT(recreation_claude_v2_5!O154,recreation_claude_v2_4!O154,recreation_claude_v2_3!O154,recreation_claude_v2_2!O154,recreation_claude_v2_1!O154),0),"NA")</f>
        <v>1</v>
      </c>
    </row>
    <row r="155" spans="1:15" x14ac:dyDescent="0.25">
      <c r="A155" t="s">
        <v>140</v>
      </c>
      <c r="B155" t="s">
        <v>77</v>
      </c>
      <c r="C155">
        <v>0</v>
      </c>
      <c r="D155">
        <v>10.541395425796511</v>
      </c>
      <c r="E155">
        <f>ROUND(SUM(recreation_claude_v2_5!E155,recreation_claude_v2_4!E155,recreation_claude_v2_3!E155,recreation_claude_v2_2!E155,recreation_claude_v2_1!E155)/COUNT(recreation_claude_v2_5!E155,recreation_claude_v2_4!E155,recreation_claude_v2_3!E155,recreation_claude_v2_2!E155,recreation_claude_v2_1!E155),0)</f>
        <v>1</v>
      </c>
      <c r="F155">
        <f>IF($E155 = 1,ROUND(SUM(recreation_claude_v2_5!F155,recreation_claude_v2_4!F155,recreation_claude_v2_3!F155,recreation_claude_v2_2!F155,recreation_claude_v2_1!F155)/COUNT(recreation_claude_v2_5!F155,recreation_claude_v2_4!F155,recreation_claude_v2_3!F155,recreation_claude_v2_2!F155,recreation_claude_v2_1!F155),0),"NA")</f>
        <v>1</v>
      </c>
      <c r="G155">
        <f>IF($E155 = 1,ROUND(SUM(recreation_claude_v2_5!G155,recreation_claude_v2_4!G155,recreation_claude_v2_3!G155,recreation_claude_v2_2!G155,recreation_claude_v2_1!G155)/COUNT(recreation_claude_v2_5!G155,recreation_claude_v2_4!G155,recreation_claude_v2_3!G155,recreation_claude_v2_2!G155,recreation_claude_v2_1!G155),0),"NA")</f>
        <v>1</v>
      </c>
      <c r="H155">
        <f>IF($E155 = 1,ROUND(SUM(recreation_claude_v2_5!I155,recreation_claude_v2_4!I155,recreation_claude_v2_3!I155,recreation_claude_v2_2!I155,recreation_claude_v2_1!I155)/COUNT(recreation_claude_v2_5!I155,recreation_claude_v2_4!I155,recreation_claude_v2_3!I155,recreation_claude_v2_2!I155,recreation_claude_v2_1!I155),0),"NA")</f>
        <v>1</v>
      </c>
      <c r="I155">
        <f>IF($F155 = 1,ROUND(SUM(recreation_claude_v2_5!J155,recreation_claude_v2_4!J155,recreation_claude_v2_3!J155,recreation_claude_v2_2!J155,recreation_claude_v2_1!J155)/COUNT(recreation_claude_v2_5!J155,recreation_claude_v2_4!J155,recreation_claude_v2_3!J155,recreation_claude_v2_2!J155,recreation_claude_v2_1!J155),0),"NA")</f>
        <v>1</v>
      </c>
      <c r="J155">
        <f>IF($E155 = 1,ROUND(SUM(recreation_claude_v2_5!K155,recreation_claude_v2_4!K155,recreation_claude_v2_3!K155,recreation_claude_v2_2!K155,recreation_claude_v2_1!K155)/COUNT(recreation_claude_v2_5!K155,recreation_claude_v2_4!K155,recreation_claude_v2_3!K155,recreation_claude_v2_2!K155,recreation_claude_v2_1!K155),0),"NA")</f>
        <v>1</v>
      </c>
      <c r="K155">
        <f>IF(AND($F155 = 1, $G155 = 1),ROUND(SUM(recreation_claude_v2_5!L155,recreation_claude_v2_4!L155,recreation_claude_v2_3!L155,recreation_claude_v2_2!L155,recreation_claude_v2_1!L155)/COUNT(recreation_claude_v2_5!L155,recreation_claude_v2_4!L155,recreation_claude_v2_3!L155,recreation_claude_v2_2!L155,recreation_claude_v2_1!L155),0),"NA")</f>
        <v>1</v>
      </c>
      <c r="L155">
        <f>IF($E155 = 1,ROUND(SUM(recreation_claude_v2_5!L155,recreation_claude_v2_4!L155,recreation_claude_v2_3!L155,recreation_claude_v2_2!L155,recreation_claude_v2_1!L155)/COUNT(recreation_claude_v2_5!L155,recreation_claude_v2_4!L155,recreation_claude_v2_3!L155,recreation_claude_v2_2!L155,recreation_claude_v2_1!L155),0),"NA")</f>
        <v>1</v>
      </c>
      <c r="M155">
        <f>IF($E155 = 1,ROUND(SUM(recreation_claude_v2_5!M155,recreation_claude_v2_4!M155,recreation_claude_v2_3!M155,recreation_claude_v2_2!M155,recreation_claude_v2_1!M155)/COUNT(recreation_claude_v2_5!M155,recreation_claude_v2_4!M155,recreation_claude_v2_3!M155,recreation_claude_v2_2!M155,recreation_claude_v2_1!M155),0),"NA")</f>
        <v>1</v>
      </c>
      <c r="N155">
        <f>IF($E155 = 1,ROUND(SUM(recreation_claude_v2_5!N155,recreation_claude_v2_4!N155,recreation_claude_v2_3!N155,recreation_claude_v2_2!N155,recreation_claude_v2_1!N155)/COUNT(recreation_claude_v2_5!N155,recreation_claude_v2_4!N155,recreation_claude_v2_3!N155,recreation_claude_v2_2!N155,recreation_claude_v2_1!N155),0),"NA")</f>
        <v>1</v>
      </c>
      <c r="O155">
        <f>IF($E155 = 1,ROUND(SUM(recreation_claude_v2_5!O155,recreation_claude_v2_4!O155,recreation_claude_v2_3!O155,recreation_claude_v2_2!O155,recreation_claude_v2_1!O155)/COUNT(recreation_claude_v2_5!O155,recreation_claude_v2_4!O155,recreation_claude_v2_3!O155,recreation_claude_v2_2!O155,recreation_claude_v2_1!O155),0),"NA")</f>
        <v>1</v>
      </c>
    </row>
    <row r="156" spans="1:15" x14ac:dyDescent="0.25">
      <c r="A156" t="s">
        <v>140</v>
      </c>
      <c r="B156" t="s">
        <v>79</v>
      </c>
      <c r="C156">
        <v>0</v>
      </c>
      <c r="D156">
        <v>14.50907874107361</v>
      </c>
      <c r="E156">
        <f>ROUND(SUM(recreation_claude_v2_5!E156,recreation_claude_v2_4!E156,recreation_claude_v2_3!E156,recreation_claude_v2_2!E156,recreation_claude_v2_1!E156)/COUNT(recreation_claude_v2_5!E156,recreation_claude_v2_4!E156,recreation_claude_v2_3!E156,recreation_claude_v2_2!E156,recreation_claude_v2_1!E156),0)</f>
        <v>0</v>
      </c>
      <c r="F156" t="str">
        <f>IF($E156 = 1,ROUND(SUM(recreation_claude_v2_5!F156,recreation_claude_v2_4!F156,recreation_claude_v2_3!F156,recreation_claude_v2_2!F156,recreation_claude_v2_1!F156)/COUNT(recreation_claude_v2_5!F156,recreation_claude_v2_4!F156,recreation_claude_v2_3!F156,recreation_claude_v2_2!F156,recreation_claude_v2_1!F156),0),"NA")</f>
        <v>NA</v>
      </c>
      <c r="G156" t="str">
        <f>IF($E156 = 1,ROUND(SUM(recreation_claude_v2_5!G156,recreation_claude_v2_4!G156,recreation_claude_v2_3!G156,recreation_claude_v2_2!G156,recreation_claude_v2_1!G156)/COUNT(recreation_claude_v2_5!G156,recreation_claude_v2_4!G156,recreation_claude_v2_3!G156,recreation_claude_v2_2!G156,recreation_claude_v2_1!G156),0),"NA")</f>
        <v>NA</v>
      </c>
      <c r="H156" t="str">
        <f>IF($E156 = 1,ROUND(SUM(recreation_claude_v2_5!I156,recreation_claude_v2_4!I156,recreation_claude_v2_3!I156,recreation_claude_v2_2!I156,recreation_claude_v2_1!I156)/COUNT(recreation_claude_v2_5!I156,recreation_claude_v2_4!I156,recreation_claude_v2_3!I156,recreation_claude_v2_2!I156,recreation_claude_v2_1!I156),0),"NA")</f>
        <v>NA</v>
      </c>
      <c r="I156" t="str">
        <f>IF($F156 = 1,ROUND(SUM(recreation_claude_v2_5!J156,recreation_claude_v2_4!J156,recreation_claude_v2_3!J156,recreation_claude_v2_2!J156,recreation_claude_v2_1!J156)/COUNT(recreation_claude_v2_5!J156,recreation_claude_v2_4!J156,recreation_claude_v2_3!J156,recreation_claude_v2_2!J156,recreation_claude_v2_1!J156),0),"NA")</f>
        <v>NA</v>
      </c>
      <c r="J156" t="str">
        <f>IF($E156 = 1,ROUND(SUM(recreation_claude_v2_5!K156,recreation_claude_v2_4!K156,recreation_claude_v2_3!K156,recreation_claude_v2_2!K156,recreation_claude_v2_1!K156)/COUNT(recreation_claude_v2_5!K156,recreation_claude_v2_4!K156,recreation_claude_v2_3!K156,recreation_claude_v2_2!K156,recreation_claude_v2_1!K156),0),"NA")</f>
        <v>NA</v>
      </c>
      <c r="K156" t="str">
        <f>IF(AND($F156 = 1, $G156 = 1),ROUND(SUM(recreation_claude_v2_5!L156,recreation_claude_v2_4!L156,recreation_claude_v2_3!L156,recreation_claude_v2_2!L156,recreation_claude_v2_1!L156)/COUNT(recreation_claude_v2_5!L156,recreation_claude_v2_4!L156,recreation_claude_v2_3!L156,recreation_claude_v2_2!L156,recreation_claude_v2_1!L156),0),"NA")</f>
        <v>NA</v>
      </c>
      <c r="L156" t="str">
        <f>IF($E156 = 1,ROUND(SUM(recreation_claude_v2_5!L156,recreation_claude_v2_4!L156,recreation_claude_v2_3!L156,recreation_claude_v2_2!L156,recreation_claude_v2_1!L156)/COUNT(recreation_claude_v2_5!L156,recreation_claude_v2_4!L156,recreation_claude_v2_3!L156,recreation_claude_v2_2!L156,recreation_claude_v2_1!L156),0),"NA")</f>
        <v>NA</v>
      </c>
      <c r="M156" t="str">
        <f>IF($E156 = 1,ROUND(SUM(recreation_claude_v2_5!M156,recreation_claude_v2_4!M156,recreation_claude_v2_3!M156,recreation_claude_v2_2!M156,recreation_claude_v2_1!M156)/COUNT(recreation_claude_v2_5!M156,recreation_claude_v2_4!M156,recreation_claude_v2_3!M156,recreation_claude_v2_2!M156,recreation_claude_v2_1!M156),0),"NA")</f>
        <v>NA</v>
      </c>
      <c r="N156" t="str">
        <f>IF($E156 = 1,ROUND(SUM(recreation_claude_v2_5!N156,recreation_claude_v2_4!N156,recreation_claude_v2_3!N156,recreation_claude_v2_2!N156,recreation_claude_v2_1!N156)/COUNT(recreation_claude_v2_5!N156,recreation_claude_v2_4!N156,recreation_claude_v2_3!N156,recreation_claude_v2_2!N156,recreation_claude_v2_1!N156),0),"NA")</f>
        <v>NA</v>
      </c>
      <c r="O156" t="str">
        <f>IF($E156 = 1,ROUND(SUM(recreation_claude_v2_5!O156,recreation_claude_v2_4!O156,recreation_claude_v2_3!O156,recreation_claude_v2_2!O156,recreation_claude_v2_1!O156)/COUNT(recreation_claude_v2_5!O156,recreation_claude_v2_4!O156,recreation_claude_v2_3!O156,recreation_claude_v2_2!O156,recreation_claude_v2_1!O156),0),"NA")</f>
        <v>NA</v>
      </c>
    </row>
    <row r="157" spans="1:15" x14ac:dyDescent="0.25">
      <c r="A157" t="s">
        <v>140</v>
      </c>
      <c r="B157" t="s">
        <v>81</v>
      </c>
      <c r="C157">
        <v>0</v>
      </c>
      <c r="D157">
        <v>12.38416314125061</v>
      </c>
      <c r="E157">
        <f>ROUND(SUM(recreation_claude_v2_5!E157,recreation_claude_v2_4!E157,recreation_claude_v2_3!E157,recreation_claude_v2_2!E157,recreation_claude_v2_1!E157)/COUNT(recreation_claude_v2_5!E157,recreation_claude_v2_4!E157,recreation_claude_v2_3!E157,recreation_claude_v2_2!E157,recreation_claude_v2_1!E157),0)</f>
        <v>1</v>
      </c>
      <c r="F157">
        <f>IF($E157 = 1,ROUND(SUM(recreation_claude_v2_5!F157,recreation_claude_v2_4!F157,recreation_claude_v2_3!F157,recreation_claude_v2_2!F157,recreation_claude_v2_1!F157)/COUNT(recreation_claude_v2_5!F157,recreation_claude_v2_4!F157,recreation_claude_v2_3!F157,recreation_claude_v2_2!F157,recreation_claude_v2_1!F157),0),"NA")</f>
        <v>1</v>
      </c>
      <c r="G157">
        <f>IF($E157 = 1,ROUND(SUM(recreation_claude_v2_5!G157,recreation_claude_v2_4!G157,recreation_claude_v2_3!G157,recreation_claude_v2_2!G157,recreation_claude_v2_1!G157)/COUNT(recreation_claude_v2_5!G157,recreation_claude_v2_4!G157,recreation_claude_v2_3!G157,recreation_claude_v2_2!G157,recreation_claude_v2_1!G157),0),"NA")</f>
        <v>1</v>
      </c>
      <c r="H157">
        <f>IF($E157 = 1,ROUND(SUM(recreation_claude_v2_5!I157,recreation_claude_v2_4!I157,recreation_claude_v2_3!I157,recreation_claude_v2_2!I157,recreation_claude_v2_1!I157)/COUNT(recreation_claude_v2_5!I157,recreation_claude_v2_4!I157,recreation_claude_v2_3!I157,recreation_claude_v2_2!I157,recreation_claude_v2_1!I157),0),"NA")</f>
        <v>1</v>
      </c>
      <c r="I157">
        <f>IF($F157 = 1,ROUND(SUM(recreation_claude_v2_5!J157,recreation_claude_v2_4!J157,recreation_claude_v2_3!J157,recreation_claude_v2_2!J157,recreation_claude_v2_1!J157)/COUNT(recreation_claude_v2_5!J157,recreation_claude_v2_4!J157,recreation_claude_v2_3!J157,recreation_claude_v2_2!J157,recreation_claude_v2_1!J157),0),"NA")</f>
        <v>0</v>
      </c>
      <c r="J157">
        <f>IF($E157 = 1,ROUND(SUM(recreation_claude_v2_5!K157,recreation_claude_v2_4!K157,recreation_claude_v2_3!K157,recreation_claude_v2_2!K157,recreation_claude_v2_1!K157)/COUNT(recreation_claude_v2_5!K157,recreation_claude_v2_4!K157,recreation_claude_v2_3!K157,recreation_claude_v2_2!K157,recreation_claude_v2_1!K157),0),"NA")</f>
        <v>1</v>
      </c>
      <c r="K157">
        <f>IF(AND($F157 = 1, $G157 = 1),ROUND(SUM(recreation_claude_v2_5!L157,recreation_claude_v2_4!L157,recreation_claude_v2_3!L157,recreation_claude_v2_2!L157,recreation_claude_v2_1!L157)/COUNT(recreation_claude_v2_5!L157,recreation_claude_v2_4!L157,recreation_claude_v2_3!L157,recreation_claude_v2_2!L157,recreation_claude_v2_1!L157),0),"NA")</f>
        <v>1</v>
      </c>
      <c r="L157">
        <f>IF($E157 = 1,ROUND(SUM(recreation_claude_v2_5!L157,recreation_claude_v2_4!L157,recreation_claude_v2_3!L157,recreation_claude_v2_2!L157,recreation_claude_v2_1!L157)/COUNT(recreation_claude_v2_5!L157,recreation_claude_v2_4!L157,recreation_claude_v2_3!L157,recreation_claude_v2_2!L157,recreation_claude_v2_1!L157),0),"NA")</f>
        <v>1</v>
      </c>
      <c r="M157">
        <f>IF($E157 = 1,ROUND(SUM(recreation_claude_v2_5!M157,recreation_claude_v2_4!M157,recreation_claude_v2_3!M157,recreation_claude_v2_2!M157,recreation_claude_v2_1!M157)/COUNT(recreation_claude_v2_5!M157,recreation_claude_v2_4!M157,recreation_claude_v2_3!M157,recreation_claude_v2_2!M157,recreation_claude_v2_1!M157),0),"NA")</f>
        <v>1</v>
      </c>
      <c r="N157">
        <f>IF($E157 = 1,ROUND(SUM(recreation_claude_v2_5!N157,recreation_claude_v2_4!N157,recreation_claude_v2_3!N157,recreation_claude_v2_2!N157,recreation_claude_v2_1!N157)/COUNT(recreation_claude_v2_5!N157,recreation_claude_v2_4!N157,recreation_claude_v2_3!N157,recreation_claude_v2_2!N157,recreation_claude_v2_1!N157),0),"NA")</f>
        <v>1</v>
      </c>
      <c r="O157">
        <f>IF($E157 = 1,ROUND(SUM(recreation_claude_v2_5!O157,recreation_claude_v2_4!O157,recreation_claude_v2_3!O157,recreation_claude_v2_2!O157,recreation_claude_v2_1!O157)/COUNT(recreation_claude_v2_5!O157,recreation_claude_v2_4!O157,recreation_claude_v2_3!O157,recreation_claude_v2_2!O157,recreation_claude_v2_1!O157),0),"NA")</f>
        <v>1</v>
      </c>
    </row>
    <row r="158" spans="1:15" x14ac:dyDescent="0.25">
      <c r="A158" t="s">
        <v>140</v>
      </c>
      <c r="B158" t="s">
        <v>83</v>
      </c>
      <c r="C158">
        <v>0</v>
      </c>
      <c r="D158">
        <v>13.31042385101318</v>
      </c>
      <c r="E158">
        <f>ROUND(SUM(recreation_claude_v2_5!E158,recreation_claude_v2_4!E158,recreation_claude_v2_3!E158,recreation_claude_v2_2!E158,recreation_claude_v2_1!E158)/COUNT(recreation_claude_v2_5!E158,recreation_claude_v2_4!E158,recreation_claude_v2_3!E158,recreation_claude_v2_2!E158,recreation_claude_v2_1!E158),0)</f>
        <v>1</v>
      </c>
      <c r="F158">
        <f>IF($E158 = 1,ROUND(SUM(recreation_claude_v2_5!F158,recreation_claude_v2_4!F158,recreation_claude_v2_3!F158,recreation_claude_v2_2!F158,recreation_claude_v2_1!F158)/COUNT(recreation_claude_v2_5!F158,recreation_claude_v2_4!F158,recreation_claude_v2_3!F158,recreation_claude_v2_2!F158,recreation_claude_v2_1!F158),0),"NA")</f>
        <v>1</v>
      </c>
      <c r="G158">
        <f>IF($E158 = 1,ROUND(SUM(recreation_claude_v2_5!G158,recreation_claude_v2_4!G158,recreation_claude_v2_3!G158,recreation_claude_v2_2!G158,recreation_claude_v2_1!G158)/COUNT(recreation_claude_v2_5!G158,recreation_claude_v2_4!G158,recreation_claude_v2_3!G158,recreation_claude_v2_2!G158,recreation_claude_v2_1!G158),0),"NA")</f>
        <v>1</v>
      </c>
      <c r="H158">
        <f>IF($E158 = 1,ROUND(SUM(recreation_claude_v2_5!I158,recreation_claude_v2_4!I158,recreation_claude_v2_3!I158,recreation_claude_v2_2!I158,recreation_claude_v2_1!I158)/COUNT(recreation_claude_v2_5!I158,recreation_claude_v2_4!I158,recreation_claude_v2_3!I158,recreation_claude_v2_2!I158,recreation_claude_v2_1!I158),0),"NA")</f>
        <v>1</v>
      </c>
      <c r="I158">
        <f>IF($F158 = 1,ROUND(SUM(recreation_claude_v2_5!J158,recreation_claude_v2_4!J158,recreation_claude_v2_3!J158,recreation_claude_v2_2!J158,recreation_claude_v2_1!J158)/COUNT(recreation_claude_v2_5!J158,recreation_claude_v2_4!J158,recreation_claude_v2_3!J158,recreation_claude_v2_2!J158,recreation_claude_v2_1!J158),0),"NA")</f>
        <v>0</v>
      </c>
      <c r="J158">
        <f>IF($E158 = 1,ROUND(SUM(recreation_claude_v2_5!K158,recreation_claude_v2_4!K158,recreation_claude_v2_3!K158,recreation_claude_v2_2!K158,recreation_claude_v2_1!K158)/COUNT(recreation_claude_v2_5!K158,recreation_claude_v2_4!K158,recreation_claude_v2_3!K158,recreation_claude_v2_2!K158,recreation_claude_v2_1!K158),0),"NA")</f>
        <v>1</v>
      </c>
      <c r="K158">
        <f>IF(AND($F158 = 1, $G158 = 1),ROUND(SUM(recreation_claude_v2_5!L158,recreation_claude_v2_4!L158,recreation_claude_v2_3!L158,recreation_claude_v2_2!L158,recreation_claude_v2_1!L158)/COUNT(recreation_claude_v2_5!L158,recreation_claude_v2_4!L158,recreation_claude_v2_3!L158,recreation_claude_v2_2!L158,recreation_claude_v2_1!L158),0),"NA")</f>
        <v>1</v>
      </c>
      <c r="L158">
        <f>IF($E158 = 1,ROUND(SUM(recreation_claude_v2_5!L158,recreation_claude_v2_4!L158,recreation_claude_v2_3!L158,recreation_claude_v2_2!L158,recreation_claude_v2_1!L158)/COUNT(recreation_claude_v2_5!L158,recreation_claude_v2_4!L158,recreation_claude_v2_3!L158,recreation_claude_v2_2!L158,recreation_claude_v2_1!L158),0),"NA")</f>
        <v>1</v>
      </c>
      <c r="M158">
        <f>IF($E158 = 1,ROUND(SUM(recreation_claude_v2_5!M158,recreation_claude_v2_4!M158,recreation_claude_v2_3!M158,recreation_claude_v2_2!M158,recreation_claude_v2_1!M158)/COUNT(recreation_claude_v2_5!M158,recreation_claude_v2_4!M158,recreation_claude_v2_3!M158,recreation_claude_v2_2!M158,recreation_claude_v2_1!M158),0),"NA")</f>
        <v>1</v>
      </c>
      <c r="N158">
        <f>IF($E158 = 1,ROUND(SUM(recreation_claude_v2_5!N158,recreation_claude_v2_4!N158,recreation_claude_v2_3!N158,recreation_claude_v2_2!N158,recreation_claude_v2_1!N158)/COUNT(recreation_claude_v2_5!N158,recreation_claude_v2_4!N158,recreation_claude_v2_3!N158,recreation_claude_v2_2!N158,recreation_claude_v2_1!N158),0),"NA")</f>
        <v>1</v>
      </c>
      <c r="O158">
        <f>IF($E158 = 1,ROUND(SUM(recreation_claude_v2_5!O158,recreation_claude_v2_4!O158,recreation_claude_v2_3!O158,recreation_claude_v2_2!O158,recreation_claude_v2_1!O158)/COUNT(recreation_claude_v2_5!O158,recreation_claude_v2_4!O158,recreation_claude_v2_3!O158,recreation_claude_v2_2!O158,recreation_claude_v2_1!O158),0),"NA")</f>
        <v>1</v>
      </c>
    </row>
    <row r="159" spans="1:15" x14ac:dyDescent="0.25">
      <c r="A159" t="s">
        <v>140</v>
      </c>
      <c r="B159" t="s">
        <v>85</v>
      </c>
      <c r="C159">
        <v>0</v>
      </c>
      <c r="D159">
        <v>13.721252202987669</v>
      </c>
      <c r="E159">
        <f>ROUND(SUM(recreation_claude_v2_5!E159,recreation_claude_v2_4!E159,recreation_claude_v2_3!E159,recreation_claude_v2_2!E159,recreation_claude_v2_1!E159)/COUNT(recreation_claude_v2_5!E159,recreation_claude_v2_4!E159,recreation_claude_v2_3!E159,recreation_claude_v2_2!E159,recreation_claude_v2_1!E159),0)</f>
        <v>1</v>
      </c>
      <c r="F159">
        <f>IF($E159 = 1,ROUND(SUM(recreation_claude_v2_5!F159,recreation_claude_v2_4!F159,recreation_claude_v2_3!F159,recreation_claude_v2_2!F159,recreation_claude_v2_1!F159)/COUNT(recreation_claude_v2_5!F159,recreation_claude_v2_4!F159,recreation_claude_v2_3!F159,recreation_claude_v2_2!F159,recreation_claude_v2_1!F159),0),"NA")</f>
        <v>1</v>
      </c>
      <c r="G159">
        <f>IF($E159 = 1,ROUND(SUM(recreation_claude_v2_5!G159,recreation_claude_v2_4!G159,recreation_claude_v2_3!G159,recreation_claude_v2_2!G159,recreation_claude_v2_1!G159)/COUNT(recreation_claude_v2_5!G159,recreation_claude_v2_4!G159,recreation_claude_v2_3!G159,recreation_claude_v2_2!G159,recreation_claude_v2_1!G159),0),"NA")</f>
        <v>1</v>
      </c>
      <c r="H159">
        <f>IF($E159 = 1,ROUND(SUM(recreation_claude_v2_5!I159,recreation_claude_v2_4!I159,recreation_claude_v2_3!I159,recreation_claude_v2_2!I159,recreation_claude_v2_1!I159)/COUNT(recreation_claude_v2_5!I159,recreation_claude_v2_4!I159,recreation_claude_v2_3!I159,recreation_claude_v2_2!I159,recreation_claude_v2_1!I159),0),"NA")</f>
        <v>1</v>
      </c>
      <c r="I159">
        <f>IF($F159 = 1,ROUND(SUM(recreation_claude_v2_5!J159,recreation_claude_v2_4!J159,recreation_claude_v2_3!J159,recreation_claude_v2_2!J159,recreation_claude_v2_1!J159)/COUNT(recreation_claude_v2_5!J159,recreation_claude_v2_4!J159,recreation_claude_v2_3!J159,recreation_claude_v2_2!J159,recreation_claude_v2_1!J159),0),"NA")</f>
        <v>0</v>
      </c>
      <c r="J159">
        <f>IF($E159 = 1,ROUND(SUM(recreation_claude_v2_5!K159,recreation_claude_v2_4!K159,recreation_claude_v2_3!K159,recreation_claude_v2_2!K159,recreation_claude_v2_1!K159)/COUNT(recreation_claude_v2_5!K159,recreation_claude_v2_4!K159,recreation_claude_v2_3!K159,recreation_claude_v2_2!K159,recreation_claude_v2_1!K159),0),"NA")</f>
        <v>1</v>
      </c>
      <c r="K159">
        <f>IF(AND($F159 = 1, $G159 = 1),ROUND(SUM(recreation_claude_v2_5!L159,recreation_claude_v2_4!L159,recreation_claude_v2_3!L159,recreation_claude_v2_2!L159,recreation_claude_v2_1!L159)/COUNT(recreation_claude_v2_5!L159,recreation_claude_v2_4!L159,recreation_claude_v2_3!L159,recreation_claude_v2_2!L159,recreation_claude_v2_1!L159),0),"NA")</f>
        <v>1</v>
      </c>
      <c r="L159">
        <f>IF($E159 = 1,ROUND(SUM(recreation_claude_v2_5!L159,recreation_claude_v2_4!L159,recreation_claude_v2_3!L159,recreation_claude_v2_2!L159,recreation_claude_v2_1!L159)/COUNT(recreation_claude_v2_5!L159,recreation_claude_v2_4!L159,recreation_claude_v2_3!L159,recreation_claude_v2_2!L159,recreation_claude_v2_1!L159),0),"NA")</f>
        <v>1</v>
      </c>
      <c r="M159">
        <f>IF($E159 = 1,ROUND(SUM(recreation_claude_v2_5!M159,recreation_claude_v2_4!M159,recreation_claude_v2_3!M159,recreation_claude_v2_2!M159,recreation_claude_v2_1!M159)/COUNT(recreation_claude_v2_5!M159,recreation_claude_v2_4!M159,recreation_claude_v2_3!M159,recreation_claude_v2_2!M159,recreation_claude_v2_1!M159),0),"NA")</f>
        <v>1</v>
      </c>
      <c r="N159">
        <f>IF($E159 = 1,ROUND(SUM(recreation_claude_v2_5!N159,recreation_claude_v2_4!N159,recreation_claude_v2_3!N159,recreation_claude_v2_2!N159,recreation_claude_v2_1!N159)/COUNT(recreation_claude_v2_5!N159,recreation_claude_v2_4!N159,recreation_claude_v2_3!N159,recreation_claude_v2_2!N159,recreation_claude_v2_1!N159),0),"NA")</f>
        <v>1</v>
      </c>
      <c r="O159">
        <f>IF($E159 = 1,ROUND(SUM(recreation_claude_v2_5!O159,recreation_claude_v2_4!O159,recreation_claude_v2_3!O159,recreation_claude_v2_2!O159,recreation_claude_v2_1!O159)/COUNT(recreation_claude_v2_5!O159,recreation_claude_v2_4!O159,recreation_claude_v2_3!O159,recreation_claude_v2_2!O159,recreation_claude_v2_1!O159),0),"NA")</f>
        <v>1</v>
      </c>
    </row>
    <row r="160" spans="1:15" x14ac:dyDescent="0.25">
      <c r="A160" t="s">
        <v>140</v>
      </c>
      <c r="B160" t="s">
        <v>87</v>
      </c>
      <c r="C160">
        <v>0</v>
      </c>
      <c r="D160">
        <v>5.4336686134338379</v>
      </c>
      <c r="E160">
        <f>ROUND(SUM(recreation_claude_v2_5!E160,recreation_claude_v2_4!E160,recreation_claude_v2_3!E160,recreation_claude_v2_2!E160,recreation_claude_v2_1!E160)/COUNT(recreation_claude_v2_5!E160,recreation_claude_v2_4!E160,recreation_claude_v2_3!E160,recreation_claude_v2_2!E160,recreation_claude_v2_1!E160),0)</f>
        <v>0</v>
      </c>
      <c r="F160" t="str">
        <f>IF($E160 = 1,ROUND(SUM(recreation_claude_v2_5!F160,recreation_claude_v2_4!F160,recreation_claude_v2_3!F160,recreation_claude_v2_2!F160,recreation_claude_v2_1!F160)/COUNT(recreation_claude_v2_5!F160,recreation_claude_v2_4!F160,recreation_claude_v2_3!F160,recreation_claude_v2_2!F160,recreation_claude_v2_1!F160),0),"NA")</f>
        <v>NA</v>
      </c>
      <c r="G160" t="str">
        <f>IF($E160 = 1,ROUND(SUM(recreation_claude_v2_5!G160,recreation_claude_v2_4!G160,recreation_claude_v2_3!G160,recreation_claude_v2_2!G160,recreation_claude_v2_1!G160)/COUNT(recreation_claude_v2_5!G160,recreation_claude_v2_4!G160,recreation_claude_v2_3!G160,recreation_claude_v2_2!G160,recreation_claude_v2_1!G160),0),"NA")</f>
        <v>NA</v>
      </c>
      <c r="H160" t="str">
        <f>IF($E160 = 1,ROUND(SUM(recreation_claude_v2_5!I160,recreation_claude_v2_4!I160,recreation_claude_v2_3!I160,recreation_claude_v2_2!I160,recreation_claude_v2_1!I160)/COUNT(recreation_claude_v2_5!I160,recreation_claude_v2_4!I160,recreation_claude_v2_3!I160,recreation_claude_v2_2!I160,recreation_claude_v2_1!I160),0),"NA")</f>
        <v>NA</v>
      </c>
      <c r="I160" t="str">
        <f>IF($F160 = 1,ROUND(SUM(recreation_claude_v2_5!J160,recreation_claude_v2_4!J160,recreation_claude_v2_3!J160,recreation_claude_v2_2!J160,recreation_claude_v2_1!J160)/COUNT(recreation_claude_v2_5!J160,recreation_claude_v2_4!J160,recreation_claude_v2_3!J160,recreation_claude_v2_2!J160,recreation_claude_v2_1!J160),0),"NA")</f>
        <v>NA</v>
      </c>
      <c r="J160" t="str">
        <f>IF($E160 = 1,ROUND(SUM(recreation_claude_v2_5!K160,recreation_claude_v2_4!K160,recreation_claude_v2_3!K160,recreation_claude_v2_2!K160,recreation_claude_v2_1!K160)/COUNT(recreation_claude_v2_5!K160,recreation_claude_v2_4!K160,recreation_claude_v2_3!K160,recreation_claude_v2_2!K160,recreation_claude_v2_1!K160),0),"NA")</f>
        <v>NA</v>
      </c>
      <c r="K160" t="str">
        <f>IF(AND($F160 = 1, $G160 = 1),ROUND(SUM(recreation_claude_v2_5!L160,recreation_claude_v2_4!L160,recreation_claude_v2_3!L160,recreation_claude_v2_2!L160,recreation_claude_v2_1!L160)/COUNT(recreation_claude_v2_5!L160,recreation_claude_v2_4!L160,recreation_claude_v2_3!L160,recreation_claude_v2_2!L160,recreation_claude_v2_1!L160),0),"NA")</f>
        <v>NA</v>
      </c>
      <c r="L160" t="str">
        <f>IF($E160 = 1,ROUND(SUM(recreation_claude_v2_5!L160,recreation_claude_v2_4!L160,recreation_claude_v2_3!L160,recreation_claude_v2_2!L160,recreation_claude_v2_1!L160)/COUNT(recreation_claude_v2_5!L160,recreation_claude_v2_4!L160,recreation_claude_v2_3!L160,recreation_claude_v2_2!L160,recreation_claude_v2_1!L160),0),"NA")</f>
        <v>NA</v>
      </c>
      <c r="M160" t="str">
        <f>IF($E160 = 1,ROUND(SUM(recreation_claude_v2_5!M160,recreation_claude_v2_4!M160,recreation_claude_v2_3!M160,recreation_claude_v2_2!M160,recreation_claude_v2_1!M160)/COUNT(recreation_claude_v2_5!M160,recreation_claude_v2_4!M160,recreation_claude_v2_3!M160,recreation_claude_v2_2!M160,recreation_claude_v2_1!M160),0),"NA")</f>
        <v>NA</v>
      </c>
      <c r="N160" t="str">
        <f>IF($E160 = 1,ROUND(SUM(recreation_claude_v2_5!N160,recreation_claude_v2_4!N160,recreation_claude_v2_3!N160,recreation_claude_v2_2!N160,recreation_claude_v2_1!N160)/COUNT(recreation_claude_v2_5!N160,recreation_claude_v2_4!N160,recreation_claude_v2_3!N160,recreation_claude_v2_2!N160,recreation_claude_v2_1!N160),0),"NA")</f>
        <v>NA</v>
      </c>
      <c r="O160" t="str">
        <f>IF($E160 = 1,ROUND(SUM(recreation_claude_v2_5!O160,recreation_claude_v2_4!O160,recreation_claude_v2_3!O160,recreation_claude_v2_2!O160,recreation_claude_v2_1!O160)/COUNT(recreation_claude_v2_5!O160,recreation_claude_v2_4!O160,recreation_claude_v2_3!O160,recreation_claude_v2_2!O160,recreation_claude_v2_1!O160),0),"NA")</f>
        <v>NA</v>
      </c>
    </row>
    <row r="161" spans="1:15" x14ac:dyDescent="0.25">
      <c r="A161" t="s">
        <v>140</v>
      </c>
      <c r="B161" t="s">
        <v>89</v>
      </c>
      <c r="C161">
        <v>0</v>
      </c>
      <c r="D161">
        <v>12.527919292449949</v>
      </c>
      <c r="E161">
        <f>ROUND(SUM(recreation_claude_v2_5!E161,recreation_claude_v2_4!E161,recreation_claude_v2_3!E161,recreation_claude_v2_2!E161,recreation_claude_v2_1!E161)/COUNT(recreation_claude_v2_5!E161,recreation_claude_v2_4!E161,recreation_claude_v2_3!E161,recreation_claude_v2_2!E161,recreation_claude_v2_1!E161),0)</f>
        <v>1</v>
      </c>
      <c r="F161">
        <f>IF($E161 = 1,ROUND(SUM(recreation_claude_v2_5!F161,recreation_claude_v2_4!F161,recreation_claude_v2_3!F161,recreation_claude_v2_2!F161,recreation_claude_v2_1!F161)/COUNT(recreation_claude_v2_5!F161,recreation_claude_v2_4!F161,recreation_claude_v2_3!F161,recreation_claude_v2_2!F161,recreation_claude_v2_1!F161),0),"NA")</f>
        <v>1</v>
      </c>
      <c r="G161">
        <f>IF($E161 = 1,ROUND(SUM(recreation_claude_v2_5!G161,recreation_claude_v2_4!G161,recreation_claude_v2_3!G161,recreation_claude_v2_2!G161,recreation_claude_v2_1!G161)/COUNT(recreation_claude_v2_5!G161,recreation_claude_v2_4!G161,recreation_claude_v2_3!G161,recreation_claude_v2_2!G161,recreation_claude_v2_1!G161),0),"NA")</f>
        <v>1</v>
      </c>
      <c r="H161">
        <f>IF($E161 = 1,ROUND(SUM(recreation_claude_v2_5!I161,recreation_claude_v2_4!I161,recreation_claude_v2_3!I161,recreation_claude_v2_2!I161,recreation_claude_v2_1!I161)/COUNT(recreation_claude_v2_5!I161,recreation_claude_v2_4!I161,recreation_claude_v2_3!I161,recreation_claude_v2_2!I161,recreation_claude_v2_1!I161),0),"NA")</f>
        <v>1</v>
      </c>
      <c r="I161">
        <f>IF($F161 = 1,ROUND(SUM(recreation_claude_v2_5!J161,recreation_claude_v2_4!J161,recreation_claude_v2_3!J161,recreation_claude_v2_2!J161,recreation_claude_v2_1!J161)/COUNT(recreation_claude_v2_5!J161,recreation_claude_v2_4!J161,recreation_claude_v2_3!J161,recreation_claude_v2_2!J161,recreation_claude_v2_1!J161),0),"NA")</f>
        <v>0</v>
      </c>
      <c r="J161">
        <f>IF($E161 = 1,ROUND(SUM(recreation_claude_v2_5!K161,recreation_claude_v2_4!K161,recreation_claude_v2_3!K161,recreation_claude_v2_2!K161,recreation_claude_v2_1!K161)/COUNT(recreation_claude_v2_5!K161,recreation_claude_v2_4!K161,recreation_claude_v2_3!K161,recreation_claude_v2_2!K161,recreation_claude_v2_1!K161),0),"NA")</f>
        <v>1</v>
      </c>
      <c r="K161">
        <f>IF(AND($F161 = 1, $G161 = 1),ROUND(SUM(recreation_claude_v2_5!L161,recreation_claude_v2_4!L161,recreation_claude_v2_3!L161,recreation_claude_v2_2!L161,recreation_claude_v2_1!L161)/COUNT(recreation_claude_v2_5!L161,recreation_claude_v2_4!L161,recreation_claude_v2_3!L161,recreation_claude_v2_2!L161,recreation_claude_v2_1!L161),0),"NA")</f>
        <v>1</v>
      </c>
      <c r="L161">
        <f>IF($E161 = 1,ROUND(SUM(recreation_claude_v2_5!L161,recreation_claude_v2_4!L161,recreation_claude_v2_3!L161,recreation_claude_v2_2!L161,recreation_claude_v2_1!L161)/COUNT(recreation_claude_v2_5!L161,recreation_claude_v2_4!L161,recreation_claude_v2_3!L161,recreation_claude_v2_2!L161,recreation_claude_v2_1!L161),0),"NA")</f>
        <v>1</v>
      </c>
      <c r="M161">
        <f>IF($E161 = 1,ROUND(SUM(recreation_claude_v2_5!M161,recreation_claude_v2_4!M161,recreation_claude_v2_3!M161,recreation_claude_v2_2!M161,recreation_claude_v2_1!M161)/COUNT(recreation_claude_v2_5!M161,recreation_claude_v2_4!M161,recreation_claude_v2_3!M161,recreation_claude_v2_2!M161,recreation_claude_v2_1!M161),0),"NA")</f>
        <v>1</v>
      </c>
      <c r="N161">
        <f>IF($E161 = 1,ROUND(SUM(recreation_claude_v2_5!N161,recreation_claude_v2_4!N161,recreation_claude_v2_3!N161,recreation_claude_v2_2!N161,recreation_claude_v2_1!N161)/COUNT(recreation_claude_v2_5!N161,recreation_claude_v2_4!N161,recreation_claude_v2_3!N161,recreation_claude_v2_2!N161,recreation_claude_v2_1!N161),0),"NA")</f>
        <v>1</v>
      </c>
      <c r="O161">
        <f>IF($E161 = 1,ROUND(SUM(recreation_claude_v2_5!O161,recreation_claude_v2_4!O161,recreation_claude_v2_3!O161,recreation_claude_v2_2!O161,recreation_claude_v2_1!O161)/COUNT(recreation_claude_v2_5!O161,recreation_claude_v2_4!O161,recreation_claude_v2_3!O161,recreation_claude_v2_2!O161,recreation_claude_v2_1!O161),0),"NA")</f>
        <v>1</v>
      </c>
    </row>
    <row r="162" spans="1:15" x14ac:dyDescent="0.25">
      <c r="A162" t="s">
        <v>140</v>
      </c>
      <c r="B162" t="s">
        <v>90</v>
      </c>
      <c r="C162">
        <v>0</v>
      </c>
      <c r="D162">
        <v>7.1598796844482422</v>
      </c>
      <c r="E162">
        <f>ROUND(SUM(recreation_claude_v2_5!E162,recreation_claude_v2_4!E162,recreation_claude_v2_3!E162,recreation_claude_v2_2!E162,recreation_claude_v2_1!E162)/COUNT(recreation_claude_v2_5!E162,recreation_claude_v2_4!E162,recreation_claude_v2_3!E162,recreation_claude_v2_2!E162,recreation_claude_v2_1!E162),0)</f>
        <v>1</v>
      </c>
      <c r="F162">
        <f>IF($E162 = 1,ROUND(SUM(recreation_claude_v2_5!F162,recreation_claude_v2_4!F162,recreation_claude_v2_3!F162,recreation_claude_v2_2!F162,recreation_claude_v2_1!F162)/COUNT(recreation_claude_v2_5!F162,recreation_claude_v2_4!F162,recreation_claude_v2_3!F162,recreation_claude_v2_2!F162,recreation_claude_v2_1!F162),0),"NA")</f>
        <v>1</v>
      </c>
      <c r="G162">
        <f>IF($E162 = 1,ROUND(SUM(recreation_claude_v2_5!G162,recreation_claude_v2_4!G162,recreation_claude_v2_3!G162,recreation_claude_v2_2!G162,recreation_claude_v2_1!G162)/COUNT(recreation_claude_v2_5!G162,recreation_claude_v2_4!G162,recreation_claude_v2_3!G162,recreation_claude_v2_2!G162,recreation_claude_v2_1!G162),0),"NA")</f>
        <v>1</v>
      </c>
      <c r="H162">
        <f>IF($E162 = 1,ROUND(SUM(recreation_claude_v2_5!I162,recreation_claude_v2_4!I162,recreation_claude_v2_3!I162,recreation_claude_v2_2!I162,recreation_claude_v2_1!I162)/COUNT(recreation_claude_v2_5!I162,recreation_claude_v2_4!I162,recreation_claude_v2_3!I162,recreation_claude_v2_2!I162,recreation_claude_v2_1!I162),0),"NA")</f>
        <v>1</v>
      </c>
      <c r="I162">
        <f>IF($F162 = 1,ROUND(SUM(recreation_claude_v2_5!J162,recreation_claude_v2_4!J162,recreation_claude_v2_3!J162,recreation_claude_v2_2!J162,recreation_claude_v2_1!J162)/COUNT(recreation_claude_v2_5!J162,recreation_claude_v2_4!J162,recreation_claude_v2_3!J162,recreation_claude_v2_2!J162,recreation_claude_v2_1!J162),0),"NA")</f>
        <v>0</v>
      </c>
      <c r="J162">
        <f>IF($E162 = 1,ROUND(SUM(recreation_claude_v2_5!K162,recreation_claude_v2_4!K162,recreation_claude_v2_3!K162,recreation_claude_v2_2!K162,recreation_claude_v2_1!K162)/COUNT(recreation_claude_v2_5!K162,recreation_claude_v2_4!K162,recreation_claude_v2_3!K162,recreation_claude_v2_2!K162,recreation_claude_v2_1!K162),0),"NA")</f>
        <v>1</v>
      </c>
      <c r="K162">
        <f>IF(AND($F162 = 1, $G162 = 1),ROUND(SUM(recreation_claude_v2_5!L162,recreation_claude_v2_4!L162,recreation_claude_v2_3!L162,recreation_claude_v2_2!L162,recreation_claude_v2_1!L162)/COUNT(recreation_claude_v2_5!L162,recreation_claude_v2_4!L162,recreation_claude_v2_3!L162,recreation_claude_v2_2!L162,recreation_claude_v2_1!L162),0),"NA")</f>
        <v>1</v>
      </c>
      <c r="L162">
        <f>IF($E162 = 1,ROUND(SUM(recreation_claude_v2_5!L162,recreation_claude_v2_4!L162,recreation_claude_v2_3!L162,recreation_claude_v2_2!L162,recreation_claude_v2_1!L162)/COUNT(recreation_claude_v2_5!L162,recreation_claude_v2_4!L162,recreation_claude_v2_3!L162,recreation_claude_v2_2!L162,recreation_claude_v2_1!L162),0),"NA")</f>
        <v>1</v>
      </c>
      <c r="M162">
        <f>IF($E162 = 1,ROUND(SUM(recreation_claude_v2_5!M162,recreation_claude_v2_4!M162,recreation_claude_v2_3!M162,recreation_claude_v2_2!M162,recreation_claude_v2_1!M162)/COUNT(recreation_claude_v2_5!M162,recreation_claude_v2_4!M162,recreation_claude_v2_3!M162,recreation_claude_v2_2!M162,recreation_claude_v2_1!M162),0),"NA")</f>
        <v>1</v>
      </c>
      <c r="N162">
        <f>IF($E162 = 1,ROUND(SUM(recreation_claude_v2_5!N162,recreation_claude_v2_4!N162,recreation_claude_v2_3!N162,recreation_claude_v2_2!N162,recreation_claude_v2_1!N162)/COUNT(recreation_claude_v2_5!N162,recreation_claude_v2_4!N162,recreation_claude_v2_3!N162,recreation_claude_v2_2!N162,recreation_claude_v2_1!N162),0),"NA")</f>
        <v>1</v>
      </c>
      <c r="O162">
        <f>IF($E162 = 1,ROUND(SUM(recreation_claude_v2_5!O162,recreation_claude_v2_4!O162,recreation_claude_v2_3!O162,recreation_claude_v2_2!O162,recreation_claude_v2_1!O162)/COUNT(recreation_claude_v2_5!O162,recreation_claude_v2_4!O162,recreation_claude_v2_3!O162,recreation_claude_v2_2!O162,recreation_claude_v2_1!O162),0),"NA")</f>
        <v>1</v>
      </c>
    </row>
    <row r="163" spans="1:15" x14ac:dyDescent="0.25">
      <c r="A163" t="s">
        <v>140</v>
      </c>
      <c r="B163" t="s">
        <v>115</v>
      </c>
      <c r="C163">
        <v>0</v>
      </c>
      <c r="D163">
        <v>11.31672739982605</v>
      </c>
      <c r="E163">
        <f>ROUND(SUM(recreation_claude_v2_5!E163,recreation_claude_v2_4!E163,recreation_claude_v2_3!E163,recreation_claude_v2_2!E163,recreation_claude_v2_1!E163)/COUNT(recreation_claude_v2_5!E163,recreation_claude_v2_4!E163,recreation_claude_v2_3!E163,recreation_claude_v2_2!E163,recreation_claude_v2_1!E163),0)</f>
        <v>1</v>
      </c>
      <c r="F163">
        <f>IF($E163 = 1,ROUND(SUM(recreation_claude_v2_5!F163,recreation_claude_v2_4!F163,recreation_claude_v2_3!F163,recreation_claude_v2_2!F163,recreation_claude_v2_1!F163)/COUNT(recreation_claude_v2_5!F163,recreation_claude_v2_4!F163,recreation_claude_v2_3!F163,recreation_claude_v2_2!F163,recreation_claude_v2_1!F163),0),"NA")</f>
        <v>1</v>
      </c>
      <c r="G163">
        <f>IF($E163 = 1,ROUND(SUM(recreation_claude_v2_5!G163,recreation_claude_v2_4!G163,recreation_claude_v2_3!G163,recreation_claude_v2_2!G163,recreation_claude_v2_1!G163)/COUNT(recreation_claude_v2_5!G163,recreation_claude_v2_4!G163,recreation_claude_v2_3!G163,recreation_claude_v2_2!G163,recreation_claude_v2_1!G163),0),"NA")</f>
        <v>1</v>
      </c>
      <c r="H163">
        <f>IF($E163 = 1,ROUND(SUM(recreation_claude_v2_5!I163,recreation_claude_v2_4!I163,recreation_claude_v2_3!I163,recreation_claude_v2_2!I163,recreation_claude_v2_1!I163)/COUNT(recreation_claude_v2_5!I163,recreation_claude_v2_4!I163,recreation_claude_v2_3!I163,recreation_claude_v2_2!I163,recreation_claude_v2_1!I163),0),"NA")</f>
        <v>1</v>
      </c>
      <c r="I163">
        <f>IF($F163 = 1,ROUND(SUM(recreation_claude_v2_5!J163,recreation_claude_v2_4!J163,recreation_claude_v2_3!J163,recreation_claude_v2_2!J163,recreation_claude_v2_1!J163)/COUNT(recreation_claude_v2_5!J163,recreation_claude_v2_4!J163,recreation_claude_v2_3!J163,recreation_claude_v2_2!J163,recreation_claude_v2_1!J163),0),"NA")</f>
        <v>0</v>
      </c>
      <c r="J163">
        <f>IF($E163 = 1,ROUND(SUM(recreation_claude_v2_5!K163,recreation_claude_v2_4!K163,recreation_claude_v2_3!K163,recreation_claude_v2_2!K163,recreation_claude_v2_1!K163)/COUNT(recreation_claude_v2_5!K163,recreation_claude_v2_4!K163,recreation_claude_v2_3!K163,recreation_claude_v2_2!K163,recreation_claude_v2_1!K163),0),"NA")</f>
        <v>1</v>
      </c>
      <c r="K163">
        <f>IF(AND($F163 = 1, $G163 = 1),ROUND(SUM(recreation_claude_v2_5!L163,recreation_claude_v2_4!L163,recreation_claude_v2_3!L163,recreation_claude_v2_2!L163,recreation_claude_v2_1!L163)/COUNT(recreation_claude_v2_5!L163,recreation_claude_v2_4!L163,recreation_claude_v2_3!L163,recreation_claude_v2_2!L163,recreation_claude_v2_1!L163),0),"NA")</f>
        <v>1</v>
      </c>
      <c r="L163">
        <f>IF($E163 = 1,ROUND(SUM(recreation_claude_v2_5!L163,recreation_claude_v2_4!L163,recreation_claude_v2_3!L163,recreation_claude_v2_2!L163,recreation_claude_v2_1!L163)/COUNT(recreation_claude_v2_5!L163,recreation_claude_v2_4!L163,recreation_claude_v2_3!L163,recreation_claude_v2_2!L163,recreation_claude_v2_1!L163),0),"NA")</f>
        <v>1</v>
      </c>
      <c r="M163">
        <f>IF($E163 = 1,ROUND(SUM(recreation_claude_v2_5!M163,recreation_claude_v2_4!M163,recreation_claude_v2_3!M163,recreation_claude_v2_2!M163,recreation_claude_v2_1!M163)/COUNT(recreation_claude_v2_5!M163,recreation_claude_v2_4!M163,recreation_claude_v2_3!M163,recreation_claude_v2_2!M163,recreation_claude_v2_1!M163),0),"NA")</f>
        <v>1</v>
      </c>
      <c r="N163">
        <f>IF($E163 = 1,ROUND(SUM(recreation_claude_v2_5!N163,recreation_claude_v2_4!N163,recreation_claude_v2_3!N163,recreation_claude_v2_2!N163,recreation_claude_v2_1!N163)/COUNT(recreation_claude_v2_5!N163,recreation_claude_v2_4!N163,recreation_claude_v2_3!N163,recreation_claude_v2_2!N163,recreation_claude_v2_1!N163),0),"NA")</f>
        <v>1</v>
      </c>
      <c r="O163">
        <f>IF($E163 = 1,ROUND(SUM(recreation_claude_v2_5!O163,recreation_claude_v2_4!O163,recreation_claude_v2_3!O163,recreation_claude_v2_2!O163,recreation_claude_v2_1!O163)/COUNT(recreation_claude_v2_5!O163,recreation_claude_v2_4!O163,recreation_claude_v2_3!O163,recreation_claude_v2_2!O163,recreation_claude_v2_1!O163),0),"NA")</f>
        <v>1</v>
      </c>
    </row>
    <row r="164" spans="1:15" x14ac:dyDescent="0.25">
      <c r="A164" t="s">
        <v>140</v>
      </c>
      <c r="B164" t="s">
        <v>117</v>
      </c>
      <c r="C164">
        <v>0</v>
      </c>
      <c r="D164">
        <v>12.786318302154539</v>
      </c>
      <c r="E164">
        <f>ROUND(SUM(recreation_claude_v2_5!E164,recreation_claude_v2_4!E164,recreation_claude_v2_3!E164,recreation_claude_v2_2!E164,recreation_claude_v2_1!E164)/COUNT(recreation_claude_v2_5!E164,recreation_claude_v2_4!E164,recreation_claude_v2_3!E164,recreation_claude_v2_2!E164,recreation_claude_v2_1!E164),0)</f>
        <v>1</v>
      </c>
      <c r="F164">
        <f>IF($E164 = 1,ROUND(SUM(recreation_claude_v2_5!F164,recreation_claude_v2_4!F164,recreation_claude_v2_3!F164,recreation_claude_v2_2!F164,recreation_claude_v2_1!F164)/COUNT(recreation_claude_v2_5!F164,recreation_claude_v2_4!F164,recreation_claude_v2_3!F164,recreation_claude_v2_2!F164,recreation_claude_v2_1!F164),0),"NA")</f>
        <v>1</v>
      </c>
      <c r="G164">
        <f>IF($E164 = 1,ROUND(SUM(recreation_claude_v2_5!G164,recreation_claude_v2_4!G164,recreation_claude_v2_3!G164,recreation_claude_v2_2!G164,recreation_claude_v2_1!G164)/COUNT(recreation_claude_v2_5!G164,recreation_claude_v2_4!G164,recreation_claude_v2_3!G164,recreation_claude_v2_2!G164,recreation_claude_v2_1!G164),0),"NA")</f>
        <v>1</v>
      </c>
      <c r="H164">
        <f>IF($E164 = 1,ROUND(SUM(recreation_claude_v2_5!I164,recreation_claude_v2_4!I164,recreation_claude_v2_3!I164,recreation_claude_v2_2!I164,recreation_claude_v2_1!I164)/COUNT(recreation_claude_v2_5!I164,recreation_claude_v2_4!I164,recreation_claude_v2_3!I164,recreation_claude_v2_2!I164,recreation_claude_v2_1!I164),0),"NA")</f>
        <v>1</v>
      </c>
      <c r="I164">
        <f>IF($F164 = 1,ROUND(SUM(recreation_claude_v2_5!J164,recreation_claude_v2_4!J164,recreation_claude_v2_3!J164,recreation_claude_v2_2!J164,recreation_claude_v2_1!J164)/COUNT(recreation_claude_v2_5!J164,recreation_claude_v2_4!J164,recreation_claude_v2_3!J164,recreation_claude_v2_2!J164,recreation_claude_v2_1!J164),0),"NA")</f>
        <v>0</v>
      </c>
      <c r="J164">
        <f>IF($E164 = 1,ROUND(SUM(recreation_claude_v2_5!K164,recreation_claude_v2_4!K164,recreation_claude_v2_3!K164,recreation_claude_v2_2!K164,recreation_claude_v2_1!K164)/COUNT(recreation_claude_v2_5!K164,recreation_claude_v2_4!K164,recreation_claude_v2_3!K164,recreation_claude_v2_2!K164,recreation_claude_v2_1!K164),0),"NA")</f>
        <v>1</v>
      </c>
      <c r="K164">
        <f>IF(AND($F164 = 1, $G164 = 1),ROUND(SUM(recreation_claude_v2_5!L164,recreation_claude_v2_4!L164,recreation_claude_v2_3!L164,recreation_claude_v2_2!L164,recreation_claude_v2_1!L164)/COUNT(recreation_claude_v2_5!L164,recreation_claude_v2_4!L164,recreation_claude_v2_3!L164,recreation_claude_v2_2!L164,recreation_claude_v2_1!L164),0),"NA")</f>
        <v>1</v>
      </c>
      <c r="L164">
        <f>IF($E164 = 1,ROUND(SUM(recreation_claude_v2_5!L164,recreation_claude_v2_4!L164,recreation_claude_v2_3!L164,recreation_claude_v2_2!L164,recreation_claude_v2_1!L164)/COUNT(recreation_claude_v2_5!L164,recreation_claude_v2_4!L164,recreation_claude_v2_3!L164,recreation_claude_v2_2!L164,recreation_claude_v2_1!L164),0),"NA")</f>
        <v>1</v>
      </c>
      <c r="M164">
        <f>IF($E164 = 1,ROUND(SUM(recreation_claude_v2_5!M164,recreation_claude_v2_4!M164,recreation_claude_v2_3!M164,recreation_claude_v2_2!M164,recreation_claude_v2_1!M164)/COUNT(recreation_claude_v2_5!M164,recreation_claude_v2_4!M164,recreation_claude_v2_3!M164,recreation_claude_v2_2!M164,recreation_claude_v2_1!M164),0),"NA")</f>
        <v>1</v>
      </c>
      <c r="N164">
        <f>IF($E164 = 1,ROUND(SUM(recreation_claude_v2_5!N164,recreation_claude_v2_4!N164,recreation_claude_v2_3!N164,recreation_claude_v2_2!N164,recreation_claude_v2_1!N164)/COUNT(recreation_claude_v2_5!N164,recreation_claude_v2_4!N164,recreation_claude_v2_3!N164,recreation_claude_v2_2!N164,recreation_claude_v2_1!N164),0),"NA")</f>
        <v>1</v>
      </c>
      <c r="O164">
        <f>IF($E164 = 1,ROUND(SUM(recreation_claude_v2_5!O164,recreation_claude_v2_4!O164,recreation_claude_v2_3!O164,recreation_claude_v2_2!O164,recreation_claude_v2_1!O164)/COUNT(recreation_claude_v2_5!O164,recreation_claude_v2_4!O164,recreation_claude_v2_3!O164,recreation_claude_v2_2!O164,recreation_claude_v2_1!O164),0),"NA")</f>
        <v>1</v>
      </c>
    </row>
    <row r="165" spans="1:15" x14ac:dyDescent="0.25">
      <c r="A165" t="s">
        <v>140</v>
      </c>
      <c r="B165" t="s">
        <v>119</v>
      </c>
      <c r="C165">
        <v>0</v>
      </c>
      <c r="D165">
        <v>13.712734222412109</v>
      </c>
      <c r="E165">
        <f>ROUND(SUM(recreation_claude_v2_5!E165,recreation_claude_v2_4!E165,recreation_claude_v2_3!E165,recreation_claude_v2_2!E165,recreation_claude_v2_1!E165)/COUNT(recreation_claude_v2_5!E165,recreation_claude_v2_4!E165,recreation_claude_v2_3!E165,recreation_claude_v2_2!E165,recreation_claude_v2_1!E165),0)</f>
        <v>1</v>
      </c>
      <c r="F165">
        <f>IF($E165 = 1,ROUND(SUM(recreation_claude_v2_5!F165,recreation_claude_v2_4!F165,recreation_claude_v2_3!F165,recreation_claude_v2_2!F165,recreation_claude_v2_1!F165)/COUNT(recreation_claude_v2_5!F165,recreation_claude_v2_4!F165,recreation_claude_v2_3!F165,recreation_claude_v2_2!F165,recreation_claude_v2_1!F165),0),"NA")</f>
        <v>1</v>
      </c>
      <c r="G165">
        <f>IF($E165 = 1,ROUND(SUM(recreation_claude_v2_5!G165,recreation_claude_v2_4!G165,recreation_claude_v2_3!G165,recreation_claude_v2_2!G165,recreation_claude_v2_1!G165)/COUNT(recreation_claude_v2_5!G165,recreation_claude_v2_4!G165,recreation_claude_v2_3!G165,recreation_claude_v2_2!G165,recreation_claude_v2_1!G165),0),"NA")</f>
        <v>1</v>
      </c>
      <c r="H165">
        <f>IF($E165 = 1,ROUND(SUM(recreation_claude_v2_5!I165,recreation_claude_v2_4!I165,recreation_claude_v2_3!I165,recreation_claude_v2_2!I165,recreation_claude_v2_1!I165)/COUNT(recreation_claude_v2_5!I165,recreation_claude_v2_4!I165,recreation_claude_v2_3!I165,recreation_claude_v2_2!I165,recreation_claude_v2_1!I165),0),"NA")</f>
        <v>1</v>
      </c>
      <c r="I165">
        <f>IF($F165 = 1,ROUND(SUM(recreation_claude_v2_5!J165,recreation_claude_v2_4!J165,recreation_claude_v2_3!J165,recreation_claude_v2_2!J165,recreation_claude_v2_1!J165)/COUNT(recreation_claude_v2_5!J165,recreation_claude_v2_4!J165,recreation_claude_v2_3!J165,recreation_claude_v2_2!J165,recreation_claude_v2_1!J165),0),"NA")</f>
        <v>0</v>
      </c>
      <c r="J165">
        <f>IF($E165 = 1,ROUND(SUM(recreation_claude_v2_5!K165,recreation_claude_v2_4!K165,recreation_claude_v2_3!K165,recreation_claude_v2_2!K165,recreation_claude_v2_1!K165)/COUNT(recreation_claude_v2_5!K165,recreation_claude_v2_4!K165,recreation_claude_v2_3!K165,recreation_claude_v2_2!K165,recreation_claude_v2_1!K165),0),"NA")</f>
        <v>1</v>
      </c>
      <c r="K165">
        <f>IF(AND($F165 = 1, $G165 = 1),ROUND(SUM(recreation_claude_v2_5!L165,recreation_claude_v2_4!L165,recreation_claude_v2_3!L165,recreation_claude_v2_2!L165,recreation_claude_v2_1!L165)/COUNT(recreation_claude_v2_5!L165,recreation_claude_v2_4!L165,recreation_claude_v2_3!L165,recreation_claude_v2_2!L165,recreation_claude_v2_1!L165),0),"NA")</f>
        <v>1</v>
      </c>
      <c r="L165">
        <f>IF($E165 = 1,ROUND(SUM(recreation_claude_v2_5!L165,recreation_claude_v2_4!L165,recreation_claude_v2_3!L165,recreation_claude_v2_2!L165,recreation_claude_v2_1!L165)/COUNT(recreation_claude_v2_5!L165,recreation_claude_v2_4!L165,recreation_claude_v2_3!L165,recreation_claude_v2_2!L165,recreation_claude_v2_1!L165),0),"NA")</f>
        <v>1</v>
      </c>
      <c r="M165">
        <f>IF($E165 = 1,ROUND(SUM(recreation_claude_v2_5!M165,recreation_claude_v2_4!M165,recreation_claude_v2_3!M165,recreation_claude_v2_2!M165,recreation_claude_v2_1!M165)/COUNT(recreation_claude_v2_5!M165,recreation_claude_v2_4!M165,recreation_claude_v2_3!M165,recreation_claude_v2_2!M165,recreation_claude_v2_1!M165),0),"NA")</f>
        <v>1</v>
      </c>
      <c r="N165">
        <f>IF($E165 = 1,ROUND(SUM(recreation_claude_v2_5!N165,recreation_claude_v2_4!N165,recreation_claude_v2_3!N165,recreation_claude_v2_2!N165,recreation_claude_v2_1!N165)/COUNT(recreation_claude_v2_5!N165,recreation_claude_v2_4!N165,recreation_claude_v2_3!N165,recreation_claude_v2_2!N165,recreation_claude_v2_1!N165),0),"NA")</f>
        <v>1</v>
      </c>
      <c r="O165">
        <f>IF($E165 = 1,ROUND(SUM(recreation_claude_v2_5!O165,recreation_claude_v2_4!O165,recreation_claude_v2_3!O165,recreation_claude_v2_2!O165,recreation_claude_v2_1!O165)/COUNT(recreation_claude_v2_5!O165,recreation_claude_v2_4!O165,recreation_claude_v2_3!O165,recreation_claude_v2_2!O165,recreation_claude_v2_1!O165),0),"NA")</f>
        <v>1</v>
      </c>
    </row>
    <row r="166" spans="1:15" x14ac:dyDescent="0.25">
      <c r="A166" t="s">
        <v>140</v>
      </c>
      <c r="B166" t="s">
        <v>121</v>
      </c>
      <c r="C166">
        <v>0</v>
      </c>
      <c r="D166">
        <v>5.6189846992492676</v>
      </c>
      <c r="E166">
        <f>ROUND(SUM(recreation_claude_v2_5!E166,recreation_claude_v2_4!E166,recreation_claude_v2_3!E166,recreation_claude_v2_2!E166,recreation_claude_v2_1!E166)/COUNT(recreation_claude_v2_5!E166,recreation_claude_v2_4!E166,recreation_claude_v2_3!E166,recreation_claude_v2_2!E166,recreation_claude_v2_1!E166),0)</f>
        <v>1</v>
      </c>
      <c r="F166">
        <f>IF($E166 = 1,ROUND(SUM(recreation_claude_v2_5!F166,recreation_claude_v2_4!F166,recreation_claude_v2_3!F166,recreation_claude_v2_2!F166,recreation_claude_v2_1!F166)/COUNT(recreation_claude_v2_5!F166,recreation_claude_v2_4!F166,recreation_claude_v2_3!F166,recreation_claude_v2_2!F166,recreation_claude_v2_1!F166),0),"NA")</f>
        <v>1</v>
      </c>
      <c r="G166">
        <f>IF($E166 = 1,ROUND(SUM(recreation_claude_v2_5!G166,recreation_claude_v2_4!G166,recreation_claude_v2_3!G166,recreation_claude_v2_2!G166,recreation_claude_v2_1!G166)/COUNT(recreation_claude_v2_5!G166,recreation_claude_v2_4!G166,recreation_claude_v2_3!G166,recreation_claude_v2_2!G166,recreation_claude_v2_1!G166),0),"NA")</f>
        <v>1</v>
      </c>
      <c r="H166">
        <f>IF($E166 = 1,ROUND(SUM(recreation_claude_v2_5!I166,recreation_claude_v2_4!I166,recreation_claude_v2_3!I166,recreation_claude_v2_2!I166,recreation_claude_v2_1!I166)/COUNT(recreation_claude_v2_5!I166,recreation_claude_v2_4!I166,recreation_claude_v2_3!I166,recreation_claude_v2_2!I166,recreation_claude_v2_1!I166),0),"NA")</f>
        <v>1</v>
      </c>
      <c r="I166">
        <f>IF($F166 = 1,ROUND(SUM(recreation_claude_v2_5!J166,recreation_claude_v2_4!J166,recreation_claude_v2_3!J166,recreation_claude_v2_2!J166,recreation_claude_v2_1!J166)/COUNT(recreation_claude_v2_5!J166,recreation_claude_v2_4!J166,recreation_claude_v2_3!J166,recreation_claude_v2_2!J166,recreation_claude_v2_1!J166),0),"NA")</f>
        <v>0</v>
      </c>
      <c r="J166">
        <f>IF($E166 = 1,ROUND(SUM(recreation_claude_v2_5!K166,recreation_claude_v2_4!K166,recreation_claude_v2_3!K166,recreation_claude_v2_2!K166,recreation_claude_v2_1!K166)/COUNT(recreation_claude_v2_5!K166,recreation_claude_v2_4!K166,recreation_claude_v2_3!K166,recreation_claude_v2_2!K166,recreation_claude_v2_1!K166),0),"NA")</f>
        <v>1</v>
      </c>
      <c r="K166">
        <f>IF(AND($F166 = 1, $G166 = 1),ROUND(SUM(recreation_claude_v2_5!L166,recreation_claude_v2_4!L166,recreation_claude_v2_3!L166,recreation_claude_v2_2!L166,recreation_claude_v2_1!L166)/COUNT(recreation_claude_v2_5!L166,recreation_claude_v2_4!L166,recreation_claude_v2_3!L166,recreation_claude_v2_2!L166,recreation_claude_v2_1!L166),0),"NA")</f>
        <v>1</v>
      </c>
      <c r="L166">
        <f>IF($E166 = 1,ROUND(SUM(recreation_claude_v2_5!L166,recreation_claude_v2_4!L166,recreation_claude_v2_3!L166,recreation_claude_v2_2!L166,recreation_claude_v2_1!L166)/COUNT(recreation_claude_v2_5!L166,recreation_claude_v2_4!L166,recreation_claude_v2_3!L166,recreation_claude_v2_2!L166,recreation_claude_v2_1!L166),0),"NA")</f>
        <v>1</v>
      </c>
      <c r="M166">
        <f>IF($E166 = 1,ROUND(SUM(recreation_claude_v2_5!M166,recreation_claude_v2_4!M166,recreation_claude_v2_3!M166,recreation_claude_v2_2!M166,recreation_claude_v2_1!M166)/COUNT(recreation_claude_v2_5!M166,recreation_claude_v2_4!M166,recreation_claude_v2_3!M166,recreation_claude_v2_2!M166,recreation_claude_v2_1!M166),0),"NA")</f>
        <v>1</v>
      </c>
      <c r="N166">
        <f>IF($E166 = 1,ROUND(SUM(recreation_claude_v2_5!N166,recreation_claude_v2_4!N166,recreation_claude_v2_3!N166,recreation_claude_v2_2!N166,recreation_claude_v2_1!N166)/COUNT(recreation_claude_v2_5!N166,recreation_claude_v2_4!N166,recreation_claude_v2_3!N166,recreation_claude_v2_2!N166,recreation_claude_v2_1!N166),0),"NA")</f>
        <v>1</v>
      </c>
      <c r="O166">
        <f>IF($E166 = 1,ROUND(SUM(recreation_claude_v2_5!O166,recreation_claude_v2_4!O166,recreation_claude_v2_3!O166,recreation_claude_v2_2!O166,recreation_claude_v2_1!O166)/COUNT(recreation_claude_v2_5!O166,recreation_claude_v2_4!O166,recreation_claude_v2_3!O166,recreation_claude_v2_2!O166,recreation_claude_v2_1!O166),0),"NA")</f>
        <v>1</v>
      </c>
    </row>
    <row r="167" spans="1:15" x14ac:dyDescent="0.25">
      <c r="A167" t="s">
        <v>140</v>
      </c>
      <c r="B167" t="s">
        <v>122</v>
      </c>
      <c r="C167">
        <v>0</v>
      </c>
      <c r="D167">
        <v>4.7975823879241943</v>
      </c>
      <c r="E167">
        <f>ROUND(SUM(recreation_claude_v2_5!E167,recreation_claude_v2_4!E167,recreation_claude_v2_3!E167,recreation_claude_v2_2!E167,recreation_claude_v2_1!E167)/COUNT(recreation_claude_v2_5!E167,recreation_claude_v2_4!E167,recreation_claude_v2_3!E167,recreation_claude_v2_2!E167,recreation_claude_v2_1!E167),0)</f>
        <v>1</v>
      </c>
      <c r="F167">
        <f>IF($E167 = 1,ROUND(SUM(recreation_claude_v2_5!F167,recreation_claude_v2_4!F167,recreation_claude_v2_3!F167,recreation_claude_v2_2!F167,recreation_claude_v2_1!F167)/COUNT(recreation_claude_v2_5!F167,recreation_claude_v2_4!F167,recreation_claude_v2_3!F167,recreation_claude_v2_2!F167,recreation_claude_v2_1!F167),0),"NA")</f>
        <v>1</v>
      </c>
      <c r="G167">
        <f>IF($E167 = 1,ROUND(SUM(recreation_claude_v2_5!G167,recreation_claude_v2_4!G167,recreation_claude_v2_3!G167,recreation_claude_v2_2!G167,recreation_claude_v2_1!G167)/COUNT(recreation_claude_v2_5!G167,recreation_claude_v2_4!G167,recreation_claude_v2_3!G167,recreation_claude_v2_2!G167,recreation_claude_v2_1!G167),0),"NA")</f>
        <v>1</v>
      </c>
      <c r="H167">
        <f>IF($E167 = 1,ROUND(SUM(recreation_claude_v2_5!I167,recreation_claude_v2_4!I167,recreation_claude_v2_3!I167,recreation_claude_v2_2!I167,recreation_claude_v2_1!I167)/COUNT(recreation_claude_v2_5!I167,recreation_claude_v2_4!I167,recreation_claude_v2_3!I167,recreation_claude_v2_2!I167,recreation_claude_v2_1!I167),0),"NA")</f>
        <v>1</v>
      </c>
      <c r="I167">
        <f>IF($F167 = 1,ROUND(SUM(recreation_claude_v2_5!J167,recreation_claude_v2_4!J167,recreation_claude_v2_3!J167,recreation_claude_v2_2!J167,recreation_claude_v2_1!J167)/COUNT(recreation_claude_v2_5!J167,recreation_claude_v2_4!J167,recreation_claude_v2_3!J167,recreation_claude_v2_2!J167,recreation_claude_v2_1!J167),0),"NA")</f>
        <v>0</v>
      </c>
      <c r="J167">
        <f>IF($E167 = 1,ROUND(SUM(recreation_claude_v2_5!K167,recreation_claude_v2_4!K167,recreation_claude_v2_3!K167,recreation_claude_v2_2!K167,recreation_claude_v2_1!K167)/COUNT(recreation_claude_v2_5!K167,recreation_claude_v2_4!K167,recreation_claude_v2_3!K167,recreation_claude_v2_2!K167,recreation_claude_v2_1!K167),0),"NA")</f>
        <v>1</v>
      </c>
      <c r="K167">
        <f>IF(AND($F167 = 1, $G167 = 1),ROUND(SUM(recreation_claude_v2_5!L167,recreation_claude_v2_4!L167,recreation_claude_v2_3!L167,recreation_claude_v2_2!L167,recreation_claude_v2_1!L167)/COUNT(recreation_claude_v2_5!L167,recreation_claude_v2_4!L167,recreation_claude_v2_3!L167,recreation_claude_v2_2!L167,recreation_claude_v2_1!L167),0),"NA")</f>
        <v>1</v>
      </c>
      <c r="L167">
        <f>IF($E167 = 1,ROUND(SUM(recreation_claude_v2_5!L167,recreation_claude_v2_4!L167,recreation_claude_v2_3!L167,recreation_claude_v2_2!L167,recreation_claude_v2_1!L167)/COUNT(recreation_claude_v2_5!L167,recreation_claude_v2_4!L167,recreation_claude_v2_3!L167,recreation_claude_v2_2!L167,recreation_claude_v2_1!L167),0),"NA")</f>
        <v>1</v>
      </c>
      <c r="M167">
        <f>IF($E167 = 1,ROUND(SUM(recreation_claude_v2_5!M167,recreation_claude_v2_4!M167,recreation_claude_v2_3!M167,recreation_claude_v2_2!M167,recreation_claude_v2_1!M167)/COUNT(recreation_claude_v2_5!M167,recreation_claude_v2_4!M167,recreation_claude_v2_3!M167,recreation_claude_v2_2!M167,recreation_claude_v2_1!M167),0),"NA")</f>
        <v>1</v>
      </c>
      <c r="N167">
        <f>IF($E167 = 1,ROUND(SUM(recreation_claude_v2_5!N167,recreation_claude_v2_4!N167,recreation_claude_v2_3!N167,recreation_claude_v2_2!N167,recreation_claude_v2_1!N167)/COUNT(recreation_claude_v2_5!N167,recreation_claude_v2_4!N167,recreation_claude_v2_3!N167,recreation_claude_v2_2!N167,recreation_claude_v2_1!N167),0),"NA")</f>
        <v>1</v>
      </c>
      <c r="O167">
        <f>IF($E167 = 1,ROUND(SUM(recreation_claude_v2_5!O167,recreation_claude_v2_4!O167,recreation_claude_v2_3!O167,recreation_claude_v2_2!O167,recreation_claude_v2_1!O167)/COUNT(recreation_claude_v2_5!O167,recreation_claude_v2_4!O167,recreation_claude_v2_3!O167,recreation_claude_v2_2!O167,recreation_claude_v2_1!O167),0),"NA")</f>
        <v>1</v>
      </c>
    </row>
    <row r="168" spans="1:15" x14ac:dyDescent="0.25">
      <c r="A168" t="s">
        <v>140</v>
      </c>
      <c r="B168" t="s">
        <v>124</v>
      </c>
      <c r="C168">
        <v>0</v>
      </c>
      <c r="D168">
        <v>5.8528165817260742</v>
      </c>
      <c r="E168">
        <f>ROUND(SUM(recreation_claude_v2_5!E168,recreation_claude_v2_4!E168,recreation_claude_v2_3!E168,recreation_claude_v2_2!E168,recreation_claude_v2_1!E168)/COUNT(recreation_claude_v2_5!E168,recreation_claude_v2_4!E168,recreation_claude_v2_3!E168,recreation_claude_v2_2!E168,recreation_claude_v2_1!E168),0)</f>
        <v>1</v>
      </c>
      <c r="F168">
        <f>IF($E168 = 1,ROUND(SUM(recreation_claude_v2_5!F168,recreation_claude_v2_4!F168,recreation_claude_v2_3!F168,recreation_claude_v2_2!F168,recreation_claude_v2_1!F168)/COUNT(recreation_claude_v2_5!F168,recreation_claude_v2_4!F168,recreation_claude_v2_3!F168,recreation_claude_v2_2!F168,recreation_claude_v2_1!F168),0),"NA")</f>
        <v>1</v>
      </c>
      <c r="G168">
        <f>IF($E168 = 1,ROUND(SUM(recreation_claude_v2_5!G168,recreation_claude_v2_4!G168,recreation_claude_v2_3!G168,recreation_claude_v2_2!G168,recreation_claude_v2_1!G168)/COUNT(recreation_claude_v2_5!G168,recreation_claude_v2_4!G168,recreation_claude_v2_3!G168,recreation_claude_v2_2!G168,recreation_claude_v2_1!G168),0),"NA")</f>
        <v>1</v>
      </c>
      <c r="H168">
        <f>IF($E168 = 1,ROUND(SUM(recreation_claude_v2_5!I168,recreation_claude_v2_4!I168,recreation_claude_v2_3!I168,recreation_claude_v2_2!I168,recreation_claude_v2_1!I168)/COUNT(recreation_claude_v2_5!I168,recreation_claude_v2_4!I168,recreation_claude_v2_3!I168,recreation_claude_v2_2!I168,recreation_claude_v2_1!I168),0),"NA")</f>
        <v>1</v>
      </c>
      <c r="I168">
        <f>IF($F168 = 1,ROUND(SUM(recreation_claude_v2_5!J168,recreation_claude_v2_4!J168,recreation_claude_v2_3!J168,recreation_claude_v2_2!J168,recreation_claude_v2_1!J168)/COUNT(recreation_claude_v2_5!J168,recreation_claude_v2_4!J168,recreation_claude_v2_3!J168,recreation_claude_v2_2!J168,recreation_claude_v2_1!J168),0),"NA")</f>
        <v>0</v>
      </c>
      <c r="J168">
        <f>IF($E168 = 1,ROUND(SUM(recreation_claude_v2_5!K168,recreation_claude_v2_4!K168,recreation_claude_v2_3!K168,recreation_claude_v2_2!K168,recreation_claude_v2_1!K168)/COUNT(recreation_claude_v2_5!K168,recreation_claude_v2_4!K168,recreation_claude_v2_3!K168,recreation_claude_v2_2!K168,recreation_claude_v2_1!K168),0),"NA")</f>
        <v>1</v>
      </c>
      <c r="K168">
        <f>IF(AND($F168 = 1, $G168 = 1),ROUND(SUM(recreation_claude_v2_5!L168,recreation_claude_v2_4!L168,recreation_claude_v2_3!L168,recreation_claude_v2_2!L168,recreation_claude_v2_1!L168)/COUNT(recreation_claude_v2_5!L168,recreation_claude_v2_4!L168,recreation_claude_v2_3!L168,recreation_claude_v2_2!L168,recreation_claude_v2_1!L168),0),"NA")</f>
        <v>1</v>
      </c>
      <c r="L168">
        <f>IF($E168 = 1,ROUND(SUM(recreation_claude_v2_5!L168,recreation_claude_v2_4!L168,recreation_claude_v2_3!L168,recreation_claude_v2_2!L168,recreation_claude_v2_1!L168)/COUNT(recreation_claude_v2_5!L168,recreation_claude_v2_4!L168,recreation_claude_v2_3!L168,recreation_claude_v2_2!L168,recreation_claude_v2_1!L168),0),"NA")</f>
        <v>1</v>
      </c>
      <c r="M168">
        <f>IF($E168 = 1,ROUND(SUM(recreation_claude_v2_5!M168,recreation_claude_v2_4!M168,recreation_claude_v2_3!M168,recreation_claude_v2_2!M168,recreation_claude_v2_1!M168)/COUNT(recreation_claude_v2_5!M168,recreation_claude_v2_4!M168,recreation_claude_v2_3!M168,recreation_claude_v2_2!M168,recreation_claude_v2_1!M168),0),"NA")</f>
        <v>1</v>
      </c>
      <c r="N168">
        <f>IF($E168 = 1,ROUND(SUM(recreation_claude_v2_5!N168,recreation_claude_v2_4!N168,recreation_claude_v2_3!N168,recreation_claude_v2_2!N168,recreation_claude_v2_1!N168)/COUNT(recreation_claude_v2_5!N168,recreation_claude_v2_4!N168,recreation_claude_v2_3!N168,recreation_claude_v2_2!N168,recreation_claude_v2_1!N168),0),"NA")</f>
        <v>1</v>
      </c>
      <c r="O168">
        <f>IF($E168 = 1,ROUND(SUM(recreation_claude_v2_5!O168,recreation_claude_v2_4!O168,recreation_claude_v2_3!O168,recreation_claude_v2_2!O168,recreation_claude_v2_1!O168)/COUNT(recreation_claude_v2_5!O168,recreation_claude_v2_4!O168,recreation_claude_v2_3!O168,recreation_claude_v2_2!O168,recreation_claude_v2_1!O168),0),"NA")</f>
        <v>1</v>
      </c>
    </row>
    <row r="169" spans="1:15" x14ac:dyDescent="0.25">
      <c r="A169" t="s">
        <v>140</v>
      </c>
      <c r="B169" t="s">
        <v>126</v>
      </c>
      <c r="C169">
        <v>0</v>
      </c>
      <c r="D169">
        <v>12.94028115272522</v>
      </c>
      <c r="E169">
        <f>ROUND(SUM(recreation_claude_v2_5!E169,recreation_claude_v2_4!E169,recreation_claude_v2_3!E169,recreation_claude_v2_2!E169,recreation_claude_v2_1!E169)/COUNT(recreation_claude_v2_5!E169,recreation_claude_v2_4!E169,recreation_claude_v2_3!E169,recreation_claude_v2_2!E169,recreation_claude_v2_1!E169),0)</f>
        <v>1</v>
      </c>
      <c r="F169">
        <f>IF($E169 = 1,ROUND(SUM(recreation_claude_v2_5!F169,recreation_claude_v2_4!F169,recreation_claude_v2_3!F169,recreation_claude_v2_2!F169,recreation_claude_v2_1!F169)/COUNT(recreation_claude_v2_5!F169,recreation_claude_v2_4!F169,recreation_claude_v2_3!F169,recreation_claude_v2_2!F169,recreation_claude_v2_1!F169),0),"NA")</f>
        <v>1</v>
      </c>
      <c r="G169">
        <f>IF($E169 = 1,ROUND(SUM(recreation_claude_v2_5!G169,recreation_claude_v2_4!G169,recreation_claude_v2_3!G169,recreation_claude_v2_2!G169,recreation_claude_v2_1!G169)/COUNT(recreation_claude_v2_5!G169,recreation_claude_v2_4!G169,recreation_claude_v2_3!G169,recreation_claude_v2_2!G169,recreation_claude_v2_1!G169),0),"NA")</f>
        <v>1</v>
      </c>
      <c r="H169">
        <f>IF($E169 = 1,ROUND(SUM(recreation_claude_v2_5!I169,recreation_claude_v2_4!I169,recreation_claude_v2_3!I169,recreation_claude_v2_2!I169,recreation_claude_v2_1!I169)/COUNT(recreation_claude_v2_5!I169,recreation_claude_v2_4!I169,recreation_claude_v2_3!I169,recreation_claude_v2_2!I169,recreation_claude_v2_1!I169),0),"NA")</f>
        <v>1</v>
      </c>
      <c r="I169">
        <f>IF($F169 = 1,ROUND(SUM(recreation_claude_v2_5!J169,recreation_claude_v2_4!J169,recreation_claude_v2_3!J169,recreation_claude_v2_2!J169,recreation_claude_v2_1!J169)/COUNT(recreation_claude_v2_5!J169,recreation_claude_v2_4!J169,recreation_claude_v2_3!J169,recreation_claude_v2_2!J169,recreation_claude_v2_1!J169),0),"NA")</f>
        <v>0</v>
      </c>
      <c r="J169">
        <f>IF($E169 = 1,ROUND(SUM(recreation_claude_v2_5!K169,recreation_claude_v2_4!K169,recreation_claude_v2_3!K169,recreation_claude_v2_2!K169,recreation_claude_v2_1!K169)/COUNT(recreation_claude_v2_5!K169,recreation_claude_v2_4!K169,recreation_claude_v2_3!K169,recreation_claude_v2_2!K169,recreation_claude_v2_1!K169),0),"NA")</f>
        <v>1</v>
      </c>
      <c r="K169">
        <f>IF(AND($F169 = 1, $G169 = 1),ROUND(SUM(recreation_claude_v2_5!L169,recreation_claude_v2_4!L169,recreation_claude_v2_3!L169,recreation_claude_v2_2!L169,recreation_claude_v2_1!L169)/COUNT(recreation_claude_v2_5!L169,recreation_claude_v2_4!L169,recreation_claude_v2_3!L169,recreation_claude_v2_2!L169,recreation_claude_v2_1!L169),0),"NA")</f>
        <v>1</v>
      </c>
      <c r="L169">
        <f>IF($E169 = 1,ROUND(SUM(recreation_claude_v2_5!L169,recreation_claude_v2_4!L169,recreation_claude_v2_3!L169,recreation_claude_v2_2!L169,recreation_claude_v2_1!L169)/COUNT(recreation_claude_v2_5!L169,recreation_claude_v2_4!L169,recreation_claude_v2_3!L169,recreation_claude_v2_2!L169,recreation_claude_v2_1!L169),0),"NA")</f>
        <v>1</v>
      </c>
      <c r="M169">
        <f>IF($E169 = 1,ROUND(SUM(recreation_claude_v2_5!M169,recreation_claude_v2_4!M169,recreation_claude_v2_3!M169,recreation_claude_v2_2!M169,recreation_claude_v2_1!M169)/COUNT(recreation_claude_v2_5!M169,recreation_claude_v2_4!M169,recreation_claude_v2_3!M169,recreation_claude_v2_2!M169,recreation_claude_v2_1!M169),0),"NA")</f>
        <v>1</v>
      </c>
      <c r="N169">
        <f>IF($E169 = 1,ROUND(SUM(recreation_claude_v2_5!N169,recreation_claude_v2_4!N169,recreation_claude_v2_3!N169,recreation_claude_v2_2!N169,recreation_claude_v2_1!N169)/COUNT(recreation_claude_v2_5!N169,recreation_claude_v2_4!N169,recreation_claude_v2_3!N169,recreation_claude_v2_2!N169,recreation_claude_v2_1!N169),0),"NA")</f>
        <v>1</v>
      </c>
      <c r="O169">
        <f>IF($E169 = 1,ROUND(SUM(recreation_claude_v2_5!O169,recreation_claude_v2_4!O169,recreation_claude_v2_3!O169,recreation_claude_v2_2!O169,recreation_claude_v2_1!O169)/COUNT(recreation_claude_v2_5!O169,recreation_claude_v2_4!O169,recreation_claude_v2_3!O169,recreation_claude_v2_2!O169,recreation_claude_v2_1!O169),0),"NA")</f>
        <v>1</v>
      </c>
    </row>
    <row r="170" spans="1:15" x14ac:dyDescent="0.25">
      <c r="A170" t="s">
        <v>140</v>
      </c>
      <c r="B170" t="s">
        <v>128</v>
      </c>
      <c r="C170">
        <v>0</v>
      </c>
      <c r="D170">
        <v>11.460941553115839</v>
      </c>
      <c r="E170">
        <f>ROUND(SUM(recreation_claude_v2_5!E170,recreation_claude_v2_4!E170,recreation_claude_v2_3!E170,recreation_claude_v2_2!E170,recreation_claude_v2_1!E170)/COUNT(recreation_claude_v2_5!E170,recreation_claude_v2_4!E170,recreation_claude_v2_3!E170,recreation_claude_v2_2!E170,recreation_claude_v2_1!E170),0)</f>
        <v>1</v>
      </c>
      <c r="F170">
        <f>IF($E170 = 1,ROUND(SUM(recreation_claude_v2_5!F170,recreation_claude_v2_4!F170,recreation_claude_v2_3!F170,recreation_claude_v2_2!F170,recreation_claude_v2_1!F170)/COUNT(recreation_claude_v2_5!F170,recreation_claude_v2_4!F170,recreation_claude_v2_3!F170,recreation_claude_v2_2!F170,recreation_claude_v2_1!F170),0),"NA")</f>
        <v>1</v>
      </c>
      <c r="G170">
        <f>IF($E170 = 1,ROUND(SUM(recreation_claude_v2_5!G170,recreation_claude_v2_4!G170,recreation_claude_v2_3!G170,recreation_claude_v2_2!G170,recreation_claude_v2_1!G170)/COUNT(recreation_claude_v2_5!G170,recreation_claude_v2_4!G170,recreation_claude_v2_3!G170,recreation_claude_v2_2!G170,recreation_claude_v2_1!G170),0),"NA")</f>
        <v>1</v>
      </c>
      <c r="H170">
        <f>IF($E170 = 1,ROUND(SUM(recreation_claude_v2_5!I170,recreation_claude_v2_4!I170,recreation_claude_v2_3!I170,recreation_claude_v2_2!I170,recreation_claude_v2_1!I170)/COUNT(recreation_claude_v2_5!I170,recreation_claude_v2_4!I170,recreation_claude_v2_3!I170,recreation_claude_v2_2!I170,recreation_claude_v2_1!I170),0),"NA")</f>
        <v>1</v>
      </c>
      <c r="I170">
        <f>IF($F170 = 1,ROUND(SUM(recreation_claude_v2_5!J170,recreation_claude_v2_4!J170,recreation_claude_v2_3!J170,recreation_claude_v2_2!J170,recreation_claude_v2_1!J170)/COUNT(recreation_claude_v2_5!J170,recreation_claude_v2_4!J170,recreation_claude_v2_3!J170,recreation_claude_v2_2!J170,recreation_claude_v2_1!J170),0),"NA")</f>
        <v>0</v>
      </c>
      <c r="J170">
        <f>IF($E170 = 1,ROUND(SUM(recreation_claude_v2_5!K170,recreation_claude_v2_4!K170,recreation_claude_v2_3!K170,recreation_claude_v2_2!K170,recreation_claude_v2_1!K170)/COUNT(recreation_claude_v2_5!K170,recreation_claude_v2_4!K170,recreation_claude_v2_3!K170,recreation_claude_v2_2!K170,recreation_claude_v2_1!K170),0),"NA")</f>
        <v>1</v>
      </c>
      <c r="K170">
        <f>IF(AND($F170 = 1, $G170 = 1),ROUND(SUM(recreation_claude_v2_5!L170,recreation_claude_v2_4!L170,recreation_claude_v2_3!L170,recreation_claude_v2_2!L170,recreation_claude_v2_1!L170)/COUNT(recreation_claude_v2_5!L170,recreation_claude_v2_4!L170,recreation_claude_v2_3!L170,recreation_claude_v2_2!L170,recreation_claude_v2_1!L170),0),"NA")</f>
        <v>1</v>
      </c>
      <c r="L170">
        <f>IF($E170 = 1,ROUND(SUM(recreation_claude_v2_5!L170,recreation_claude_v2_4!L170,recreation_claude_v2_3!L170,recreation_claude_v2_2!L170,recreation_claude_v2_1!L170)/COUNT(recreation_claude_v2_5!L170,recreation_claude_v2_4!L170,recreation_claude_v2_3!L170,recreation_claude_v2_2!L170,recreation_claude_v2_1!L170),0),"NA")</f>
        <v>1</v>
      </c>
      <c r="M170">
        <f>IF($E170 = 1,ROUND(SUM(recreation_claude_v2_5!M170,recreation_claude_v2_4!M170,recreation_claude_v2_3!M170,recreation_claude_v2_2!M170,recreation_claude_v2_1!M170)/COUNT(recreation_claude_v2_5!M170,recreation_claude_v2_4!M170,recreation_claude_v2_3!M170,recreation_claude_v2_2!M170,recreation_claude_v2_1!M170),0),"NA")</f>
        <v>1</v>
      </c>
      <c r="N170">
        <f>IF($E170 = 1,ROUND(SUM(recreation_claude_v2_5!N170,recreation_claude_v2_4!N170,recreation_claude_v2_3!N170,recreation_claude_v2_2!N170,recreation_claude_v2_1!N170)/COUNT(recreation_claude_v2_5!N170,recreation_claude_v2_4!N170,recreation_claude_v2_3!N170,recreation_claude_v2_2!N170,recreation_claude_v2_1!N170),0),"NA")</f>
        <v>1</v>
      </c>
      <c r="O170">
        <f>IF($E170 = 1,ROUND(SUM(recreation_claude_v2_5!O170,recreation_claude_v2_4!O170,recreation_claude_v2_3!O170,recreation_claude_v2_2!O170,recreation_claude_v2_1!O170)/COUNT(recreation_claude_v2_5!O170,recreation_claude_v2_4!O170,recreation_claude_v2_3!O170,recreation_claude_v2_2!O170,recreation_claude_v2_1!O170),0),"NA")</f>
        <v>1</v>
      </c>
    </row>
    <row r="171" spans="1:15" x14ac:dyDescent="0.25">
      <c r="A171" t="s">
        <v>140</v>
      </c>
      <c r="B171" t="s">
        <v>130</v>
      </c>
      <c r="C171">
        <v>0</v>
      </c>
      <c r="D171">
        <v>4.4990901947021484</v>
      </c>
      <c r="E171">
        <f>ROUND(SUM(recreation_claude_v2_5!E171,recreation_claude_v2_4!E171,recreation_claude_v2_3!E171,recreation_claude_v2_2!E171,recreation_claude_v2_1!E171)/COUNT(recreation_claude_v2_5!E171,recreation_claude_v2_4!E171,recreation_claude_v2_3!E171,recreation_claude_v2_2!E171,recreation_claude_v2_1!E171),0)</f>
        <v>1</v>
      </c>
      <c r="F171">
        <f>IF($E171 = 1,ROUND(SUM(recreation_claude_v2_5!F171,recreation_claude_v2_4!F171,recreation_claude_v2_3!F171,recreation_claude_v2_2!F171,recreation_claude_v2_1!F171)/COUNT(recreation_claude_v2_5!F171,recreation_claude_v2_4!F171,recreation_claude_v2_3!F171,recreation_claude_v2_2!F171,recreation_claude_v2_1!F171),0),"NA")</f>
        <v>1</v>
      </c>
      <c r="G171">
        <f>IF($E171 = 1,ROUND(SUM(recreation_claude_v2_5!G171,recreation_claude_v2_4!G171,recreation_claude_v2_3!G171,recreation_claude_v2_2!G171,recreation_claude_v2_1!G171)/COUNT(recreation_claude_v2_5!G171,recreation_claude_v2_4!G171,recreation_claude_v2_3!G171,recreation_claude_v2_2!G171,recreation_claude_v2_1!G171),0),"NA")</f>
        <v>1</v>
      </c>
      <c r="H171">
        <f>IF($E171 = 1,ROUND(SUM(recreation_claude_v2_5!I171,recreation_claude_v2_4!I171,recreation_claude_v2_3!I171,recreation_claude_v2_2!I171,recreation_claude_v2_1!I171)/COUNT(recreation_claude_v2_5!I171,recreation_claude_v2_4!I171,recreation_claude_v2_3!I171,recreation_claude_v2_2!I171,recreation_claude_v2_1!I171),0),"NA")</f>
        <v>1</v>
      </c>
      <c r="I171">
        <f>IF($F171 = 1,ROUND(SUM(recreation_claude_v2_5!J171,recreation_claude_v2_4!J171,recreation_claude_v2_3!J171,recreation_claude_v2_2!J171,recreation_claude_v2_1!J171)/COUNT(recreation_claude_v2_5!J171,recreation_claude_v2_4!J171,recreation_claude_v2_3!J171,recreation_claude_v2_2!J171,recreation_claude_v2_1!J171),0),"NA")</f>
        <v>0</v>
      </c>
      <c r="J171">
        <f>IF($E171 = 1,ROUND(SUM(recreation_claude_v2_5!K171,recreation_claude_v2_4!K171,recreation_claude_v2_3!K171,recreation_claude_v2_2!K171,recreation_claude_v2_1!K171)/COUNT(recreation_claude_v2_5!K171,recreation_claude_v2_4!K171,recreation_claude_v2_3!K171,recreation_claude_v2_2!K171,recreation_claude_v2_1!K171),0),"NA")</f>
        <v>1</v>
      </c>
      <c r="K171">
        <f>IF(AND($F171 = 1, $G171 = 1),ROUND(SUM(recreation_claude_v2_5!L171,recreation_claude_v2_4!L171,recreation_claude_v2_3!L171,recreation_claude_v2_2!L171,recreation_claude_v2_1!L171)/COUNT(recreation_claude_v2_5!L171,recreation_claude_v2_4!L171,recreation_claude_v2_3!L171,recreation_claude_v2_2!L171,recreation_claude_v2_1!L171),0),"NA")</f>
        <v>1</v>
      </c>
      <c r="L171">
        <f>IF($E171 = 1,ROUND(SUM(recreation_claude_v2_5!L171,recreation_claude_v2_4!L171,recreation_claude_v2_3!L171,recreation_claude_v2_2!L171,recreation_claude_v2_1!L171)/COUNT(recreation_claude_v2_5!L171,recreation_claude_v2_4!L171,recreation_claude_v2_3!L171,recreation_claude_v2_2!L171,recreation_claude_v2_1!L171),0),"NA")</f>
        <v>1</v>
      </c>
      <c r="M171">
        <f>IF($E171 = 1,ROUND(SUM(recreation_claude_v2_5!M171,recreation_claude_v2_4!M171,recreation_claude_v2_3!M171,recreation_claude_v2_2!M171,recreation_claude_v2_1!M171)/COUNT(recreation_claude_v2_5!M171,recreation_claude_v2_4!M171,recreation_claude_v2_3!M171,recreation_claude_v2_2!M171,recreation_claude_v2_1!M171),0),"NA")</f>
        <v>1</v>
      </c>
      <c r="N171">
        <f>IF($E171 = 1,ROUND(SUM(recreation_claude_v2_5!N171,recreation_claude_v2_4!N171,recreation_claude_v2_3!N171,recreation_claude_v2_2!N171,recreation_claude_v2_1!N171)/COUNT(recreation_claude_v2_5!N171,recreation_claude_v2_4!N171,recreation_claude_v2_3!N171,recreation_claude_v2_2!N171,recreation_claude_v2_1!N171),0),"NA")</f>
        <v>1</v>
      </c>
      <c r="O171">
        <f>IF($E171 = 1,ROUND(SUM(recreation_claude_v2_5!O171,recreation_claude_v2_4!O171,recreation_claude_v2_3!O171,recreation_claude_v2_2!O171,recreation_claude_v2_1!O171)/COUNT(recreation_claude_v2_5!O171,recreation_claude_v2_4!O171,recreation_claude_v2_3!O171,recreation_claude_v2_2!O171,recreation_claude_v2_1!O171),0),"NA")</f>
        <v>1</v>
      </c>
    </row>
    <row r="172" spans="1:15" x14ac:dyDescent="0.25">
      <c r="A172" t="s">
        <v>140</v>
      </c>
      <c r="B172" t="s">
        <v>131</v>
      </c>
      <c r="C172">
        <v>0</v>
      </c>
      <c r="D172">
        <v>4.9013445377349854</v>
      </c>
      <c r="E172">
        <f>ROUND(SUM(recreation_claude_v2_5!E172,recreation_claude_v2_4!E172,recreation_claude_v2_3!E172,recreation_claude_v2_2!E172,recreation_claude_v2_1!E172)/COUNT(recreation_claude_v2_5!E172,recreation_claude_v2_4!E172,recreation_claude_v2_3!E172,recreation_claude_v2_2!E172,recreation_claude_v2_1!E172),0)</f>
        <v>1</v>
      </c>
      <c r="F172">
        <f>IF($E172 = 1,ROUND(SUM(recreation_claude_v2_5!F172,recreation_claude_v2_4!F172,recreation_claude_v2_3!F172,recreation_claude_v2_2!F172,recreation_claude_v2_1!F172)/COUNT(recreation_claude_v2_5!F172,recreation_claude_v2_4!F172,recreation_claude_v2_3!F172,recreation_claude_v2_2!F172,recreation_claude_v2_1!F172),0),"NA")</f>
        <v>1</v>
      </c>
      <c r="G172">
        <f>IF($E172 = 1,ROUND(SUM(recreation_claude_v2_5!G172,recreation_claude_v2_4!G172,recreation_claude_v2_3!G172,recreation_claude_v2_2!G172,recreation_claude_v2_1!G172)/COUNT(recreation_claude_v2_5!G172,recreation_claude_v2_4!G172,recreation_claude_v2_3!G172,recreation_claude_v2_2!G172,recreation_claude_v2_1!G172),0),"NA")</f>
        <v>1</v>
      </c>
      <c r="H172">
        <f>IF($E172 = 1,ROUND(SUM(recreation_claude_v2_5!I172,recreation_claude_v2_4!I172,recreation_claude_v2_3!I172,recreation_claude_v2_2!I172,recreation_claude_v2_1!I172)/COUNT(recreation_claude_v2_5!I172,recreation_claude_v2_4!I172,recreation_claude_v2_3!I172,recreation_claude_v2_2!I172,recreation_claude_v2_1!I172),0),"NA")</f>
        <v>1</v>
      </c>
      <c r="I172">
        <f>IF($F172 = 1,ROUND(SUM(recreation_claude_v2_5!J172,recreation_claude_v2_4!J172,recreation_claude_v2_3!J172,recreation_claude_v2_2!J172,recreation_claude_v2_1!J172)/COUNT(recreation_claude_v2_5!J172,recreation_claude_v2_4!J172,recreation_claude_v2_3!J172,recreation_claude_v2_2!J172,recreation_claude_v2_1!J172),0),"NA")</f>
        <v>0</v>
      </c>
      <c r="J172">
        <f>IF($E172 = 1,ROUND(SUM(recreation_claude_v2_5!K172,recreation_claude_v2_4!K172,recreation_claude_v2_3!K172,recreation_claude_v2_2!K172,recreation_claude_v2_1!K172)/COUNT(recreation_claude_v2_5!K172,recreation_claude_v2_4!K172,recreation_claude_v2_3!K172,recreation_claude_v2_2!K172,recreation_claude_v2_1!K172),0),"NA")</f>
        <v>0</v>
      </c>
      <c r="K172">
        <f>IF(AND($F172 = 1, $G172 = 1),ROUND(SUM(recreation_claude_v2_5!L172,recreation_claude_v2_4!L172,recreation_claude_v2_3!L172,recreation_claude_v2_2!L172,recreation_claude_v2_1!L172)/COUNT(recreation_claude_v2_5!L172,recreation_claude_v2_4!L172,recreation_claude_v2_3!L172,recreation_claude_v2_2!L172,recreation_claude_v2_1!L172),0),"NA")</f>
        <v>1</v>
      </c>
      <c r="L172">
        <f>IF($E172 = 1,ROUND(SUM(recreation_claude_v2_5!L172,recreation_claude_v2_4!L172,recreation_claude_v2_3!L172,recreation_claude_v2_2!L172,recreation_claude_v2_1!L172)/COUNT(recreation_claude_v2_5!L172,recreation_claude_v2_4!L172,recreation_claude_v2_3!L172,recreation_claude_v2_2!L172,recreation_claude_v2_1!L172),0),"NA")</f>
        <v>1</v>
      </c>
      <c r="M172">
        <f>IF($E172 = 1,ROUND(SUM(recreation_claude_v2_5!M172,recreation_claude_v2_4!M172,recreation_claude_v2_3!M172,recreation_claude_v2_2!M172,recreation_claude_v2_1!M172)/COUNT(recreation_claude_v2_5!M172,recreation_claude_v2_4!M172,recreation_claude_v2_3!M172,recreation_claude_v2_2!M172,recreation_claude_v2_1!M172),0),"NA")</f>
        <v>1</v>
      </c>
      <c r="N172">
        <f>IF($E172 = 1,ROUND(SUM(recreation_claude_v2_5!N172,recreation_claude_v2_4!N172,recreation_claude_v2_3!N172,recreation_claude_v2_2!N172,recreation_claude_v2_1!N172)/COUNT(recreation_claude_v2_5!N172,recreation_claude_v2_4!N172,recreation_claude_v2_3!N172,recreation_claude_v2_2!N172,recreation_claude_v2_1!N172),0),"NA")</f>
        <v>1</v>
      </c>
      <c r="O172">
        <f>IF($E172 = 1,ROUND(SUM(recreation_claude_v2_5!O172,recreation_claude_v2_4!O172,recreation_claude_v2_3!O172,recreation_claude_v2_2!O172,recreation_claude_v2_1!O172)/COUNT(recreation_claude_v2_5!O172,recreation_claude_v2_4!O172,recreation_claude_v2_3!O172,recreation_claude_v2_2!O172,recreation_claude_v2_1!O172),0),"NA")</f>
        <v>1</v>
      </c>
    </row>
    <row r="173" spans="1:15" x14ac:dyDescent="0.25">
      <c r="A173" t="s">
        <v>140</v>
      </c>
      <c r="B173" t="s">
        <v>133</v>
      </c>
      <c r="C173">
        <v>0</v>
      </c>
      <c r="D173">
        <v>12.928044557571409</v>
      </c>
      <c r="E173">
        <f>ROUND(SUM(recreation_claude_v2_5!E173,recreation_claude_v2_4!E173,recreation_claude_v2_3!E173,recreation_claude_v2_2!E173,recreation_claude_v2_1!E173)/COUNT(recreation_claude_v2_5!E173,recreation_claude_v2_4!E173,recreation_claude_v2_3!E173,recreation_claude_v2_2!E173,recreation_claude_v2_1!E173),0)</f>
        <v>0</v>
      </c>
      <c r="F173" t="str">
        <f>IF($E173 = 1,ROUND(SUM(recreation_claude_v2_5!F173,recreation_claude_v2_4!F173,recreation_claude_v2_3!F173,recreation_claude_v2_2!F173,recreation_claude_v2_1!F173)/COUNT(recreation_claude_v2_5!F173,recreation_claude_v2_4!F173,recreation_claude_v2_3!F173,recreation_claude_v2_2!F173,recreation_claude_v2_1!F173),0),"NA")</f>
        <v>NA</v>
      </c>
      <c r="G173" t="str">
        <f>IF($E173 = 1,ROUND(SUM(recreation_claude_v2_5!G173,recreation_claude_v2_4!G173,recreation_claude_v2_3!G173,recreation_claude_v2_2!G173,recreation_claude_v2_1!G173)/COUNT(recreation_claude_v2_5!G173,recreation_claude_v2_4!G173,recreation_claude_v2_3!G173,recreation_claude_v2_2!G173,recreation_claude_v2_1!G173),0),"NA")</f>
        <v>NA</v>
      </c>
      <c r="H173" t="str">
        <f>IF($E173 = 1,ROUND(SUM(recreation_claude_v2_5!I173,recreation_claude_v2_4!I173,recreation_claude_v2_3!I173,recreation_claude_v2_2!I173,recreation_claude_v2_1!I173)/COUNT(recreation_claude_v2_5!I173,recreation_claude_v2_4!I173,recreation_claude_v2_3!I173,recreation_claude_v2_2!I173,recreation_claude_v2_1!I173),0),"NA")</f>
        <v>NA</v>
      </c>
      <c r="I173" t="str">
        <f>IF($F173 = 1,ROUND(SUM(recreation_claude_v2_5!J173,recreation_claude_v2_4!J173,recreation_claude_v2_3!J173,recreation_claude_v2_2!J173,recreation_claude_v2_1!J173)/COUNT(recreation_claude_v2_5!J173,recreation_claude_v2_4!J173,recreation_claude_v2_3!J173,recreation_claude_v2_2!J173,recreation_claude_v2_1!J173),0),"NA")</f>
        <v>NA</v>
      </c>
      <c r="J173" t="str">
        <f>IF($E173 = 1,ROUND(SUM(recreation_claude_v2_5!K173,recreation_claude_v2_4!K173,recreation_claude_v2_3!K173,recreation_claude_v2_2!K173,recreation_claude_v2_1!K173)/COUNT(recreation_claude_v2_5!K173,recreation_claude_v2_4!K173,recreation_claude_v2_3!K173,recreation_claude_v2_2!K173,recreation_claude_v2_1!K173),0),"NA")</f>
        <v>NA</v>
      </c>
      <c r="K173" t="str">
        <f>IF(AND($F173 = 1, $G173 = 1),ROUND(SUM(recreation_claude_v2_5!L173,recreation_claude_v2_4!L173,recreation_claude_v2_3!L173,recreation_claude_v2_2!L173,recreation_claude_v2_1!L173)/COUNT(recreation_claude_v2_5!L173,recreation_claude_v2_4!L173,recreation_claude_v2_3!L173,recreation_claude_v2_2!L173,recreation_claude_v2_1!L173),0),"NA")</f>
        <v>NA</v>
      </c>
      <c r="L173" t="str">
        <f>IF($E173 = 1,ROUND(SUM(recreation_claude_v2_5!L173,recreation_claude_v2_4!L173,recreation_claude_v2_3!L173,recreation_claude_v2_2!L173,recreation_claude_v2_1!L173)/COUNT(recreation_claude_v2_5!L173,recreation_claude_v2_4!L173,recreation_claude_v2_3!L173,recreation_claude_v2_2!L173,recreation_claude_v2_1!L173),0),"NA")</f>
        <v>NA</v>
      </c>
      <c r="M173" t="str">
        <f>IF($E173 = 1,ROUND(SUM(recreation_claude_v2_5!M173,recreation_claude_v2_4!M173,recreation_claude_v2_3!M173,recreation_claude_v2_2!M173,recreation_claude_v2_1!M173)/COUNT(recreation_claude_v2_5!M173,recreation_claude_v2_4!M173,recreation_claude_v2_3!M173,recreation_claude_v2_2!M173,recreation_claude_v2_1!M173),0),"NA")</f>
        <v>NA</v>
      </c>
      <c r="N173" t="str">
        <f>IF($E173 = 1,ROUND(SUM(recreation_claude_v2_5!N173,recreation_claude_v2_4!N173,recreation_claude_v2_3!N173,recreation_claude_v2_2!N173,recreation_claude_v2_1!N173)/COUNT(recreation_claude_v2_5!N173,recreation_claude_v2_4!N173,recreation_claude_v2_3!N173,recreation_claude_v2_2!N173,recreation_claude_v2_1!N173),0),"NA")</f>
        <v>NA</v>
      </c>
      <c r="O173" t="str">
        <f>IF($E173 = 1,ROUND(SUM(recreation_claude_v2_5!O173,recreation_claude_v2_4!O173,recreation_claude_v2_3!O173,recreation_claude_v2_2!O173,recreation_claude_v2_1!O173)/COUNT(recreation_claude_v2_5!O173,recreation_claude_v2_4!O173,recreation_claude_v2_3!O173,recreation_claude_v2_2!O173,recreation_claude_v2_1!O173),0),"NA")</f>
        <v>NA</v>
      </c>
    </row>
    <row r="174" spans="1:15" x14ac:dyDescent="0.25">
      <c r="A174" t="s">
        <v>140</v>
      </c>
      <c r="B174" t="s">
        <v>135</v>
      </c>
      <c r="C174">
        <v>0</v>
      </c>
      <c r="D174">
        <v>9.5405597686767578</v>
      </c>
      <c r="E174">
        <f>ROUND(SUM(recreation_claude_v2_5!E174,recreation_claude_v2_4!E174,recreation_claude_v2_3!E174,recreation_claude_v2_2!E174,recreation_claude_v2_1!E174)/COUNT(recreation_claude_v2_5!E174,recreation_claude_v2_4!E174,recreation_claude_v2_3!E174,recreation_claude_v2_2!E174,recreation_claude_v2_1!E174),0)</f>
        <v>1</v>
      </c>
      <c r="F174">
        <f>IF($E174 = 1,ROUND(SUM(recreation_claude_v2_5!F174,recreation_claude_v2_4!F174,recreation_claude_v2_3!F174,recreation_claude_v2_2!F174,recreation_claude_v2_1!F174)/COUNT(recreation_claude_v2_5!F174,recreation_claude_v2_4!F174,recreation_claude_v2_3!F174,recreation_claude_v2_2!F174,recreation_claude_v2_1!F174),0),"NA")</f>
        <v>1</v>
      </c>
      <c r="G174">
        <f>IF($E174 = 1,ROUND(SUM(recreation_claude_v2_5!G174,recreation_claude_v2_4!G174,recreation_claude_v2_3!G174,recreation_claude_v2_2!G174,recreation_claude_v2_1!G174)/COUNT(recreation_claude_v2_5!G174,recreation_claude_v2_4!G174,recreation_claude_v2_3!G174,recreation_claude_v2_2!G174,recreation_claude_v2_1!G174),0),"NA")</f>
        <v>1</v>
      </c>
      <c r="H174">
        <f>IF($E174 = 1,ROUND(SUM(recreation_claude_v2_5!I174,recreation_claude_v2_4!I174,recreation_claude_v2_3!I174,recreation_claude_v2_2!I174,recreation_claude_v2_1!I174)/COUNT(recreation_claude_v2_5!I174,recreation_claude_v2_4!I174,recreation_claude_v2_3!I174,recreation_claude_v2_2!I174,recreation_claude_v2_1!I174),0),"NA")</f>
        <v>1</v>
      </c>
      <c r="I174">
        <f>IF($F174 = 1,ROUND(SUM(recreation_claude_v2_5!J174,recreation_claude_v2_4!J174,recreation_claude_v2_3!J174,recreation_claude_v2_2!J174,recreation_claude_v2_1!J174)/COUNT(recreation_claude_v2_5!J174,recreation_claude_v2_4!J174,recreation_claude_v2_3!J174,recreation_claude_v2_2!J174,recreation_claude_v2_1!J174),0),"NA")</f>
        <v>0</v>
      </c>
      <c r="J174">
        <f>IF($E174 = 1,ROUND(SUM(recreation_claude_v2_5!K174,recreation_claude_v2_4!K174,recreation_claude_v2_3!K174,recreation_claude_v2_2!K174,recreation_claude_v2_1!K174)/COUNT(recreation_claude_v2_5!K174,recreation_claude_v2_4!K174,recreation_claude_v2_3!K174,recreation_claude_v2_2!K174,recreation_claude_v2_1!K174),0),"NA")</f>
        <v>1</v>
      </c>
      <c r="K174">
        <f>IF(AND($F174 = 1, $G174 = 1),ROUND(SUM(recreation_claude_v2_5!L174,recreation_claude_v2_4!L174,recreation_claude_v2_3!L174,recreation_claude_v2_2!L174,recreation_claude_v2_1!L174)/COUNT(recreation_claude_v2_5!L174,recreation_claude_v2_4!L174,recreation_claude_v2_3!L174,recreation_claude_v2_2!L174,recreation_claude_v2_1!L174),0),"NA")</f>
        <v>1</v>
      </c>
      <c r="L174">
        <f>IF($E174 = 1,ROUND(SUM(recreation_claude_v2_5!L174,recreation_claude_v2_4!L174,recreation_claude_v2_3!L174,recreation_claude_v2_2!L174,recreation_claude_v2_1!L174)/COUNT(recreation_claude_v2_5!L174,recreation_claude_v2_4!L174,recreation_claude_v2_3!L174,recreation_claude_v2_2!L174,recreation_claude_v2_1!L174),0),"NA")</f>
        <v>1</v>
      </c>
      <c r="M174">
        <f>IF($E174 = 1,ROUND(SUM(recreation_claude_v2_5!M174,recreation_claude_v2_4!M174,recreation_claude_v2_3!M174,recreation_claude_v2_2!M174,recreation_claude_v2_1!M174)/COUNT(recreation_claude_v2_5!M174,recreation_claude_v2_4!M174,recreation_claude_v2_3!M174,recreation_claude_v2_2!M174,recreation_claude_v2_1!M174),0),"NA")</f>
        <v>1</v>
      </c>
      <c r="N174">
        <f>IF($E174 = 1,ROUND(SUM(recreation_claude_v2_5!N174,recreation_claude_v2_4!N174,recreation_claude_v2_3!N174,recreation_claude_v2_2!N174,recreation_claude_v2_1!N174)/COUNT(recreation_claude_v2_5!N174,recreation_claude_v2_4!N174,recreation_claude_v2_3!N174,recreation_claude_v2_2!N174,recreation_claude_v2_1!N174),0),"NA")</f>
        <v>1</v>
      </c>
      <c r="O174">
        <f>IF($E174 = 1,ROUND(SUM(recreation_claude_v2_5!O174,recreation_claude_v2_4!O174,recreation_claude_v2_3!O174,recreation_claude_v2_2!O174,recreation_claude_v2_1!O174)/COUNT(recreation_claude_v2_5!O174,recreation_claude_v2_4!O174,recreation_claude_v2_3!O174,recreation_claude_v2_2!O174,recreation_claude_v2_1!O174),0),"NA")</f>
        <v>1</v>
      </c>
    </row>
    <row r="175" spans="1:15" x14ac:dyDescent="0.25">
      <c r="A175" t="s">
        <v>140</v>
      </c>
      <c r="B175" t="s">
        <v>137</v>
      </c>
      <c r="C175">
        <v>0</v>
      </c>
      <c r="D175">
        <v>8.9812130928039551</v>
      </c>
      <c r="E175">
        <f>ROUND(SUM(recreation_claude_v2_5!E175,recreation_claude_v2_4!E175,recreation_claude_v2_3!E175,recreation_claude_v2_2!E175,recreation_claude_v2_1!E175)/COUNT(recreation_claude_v2_5!E175,recreation_claude_v2_4!E175,recreation_claude_v2_3!E175,recreation_claude_v2_2!E175,recreation_claude_v2_1!E175),0)</f>
        <v>1</v>
      </c>
      <c r="F175">
        <f>IF($E175 = 1,ROUND(SUM(recreation_claude_v2_5!F175,recreation_claude_v2_4!F175,recreation_claude_v2_3!F175,recreation_claude_v2_2!F175,recreation_claude_v2_1!F175)/COUNT(recreation_claude_v2_5!F175,recreation_claude_v2_4!F175,recreation_claude_v2_3!F175,recreation_claude_v2_2!F175,recreation_claude_v2_1!F175),0),"NA")</f>
        <v>1</v>
      </c>
      <c r="G175">
        <f>IF($E175 = 1,ROUND(SUM(recreation_claude_v2_5!G175,recreation_claude_v2_4!G175,recreation_claude_v2_3!G175,recreation_claude_v2_2!G175,recreation_claude_v2_1!G175)/COUNT(recreation_claude_v2_5!G175,recreation_claude_v2_4!G175,recreation_claude_v2_3!G175,recreation_claude_v2_2!G175,recreation_claude_v2_1!G175),0),"NA")</f>
        <v>1</v>
      </c>
      <c r="H175">
        <f>IF($E175 = 1,ROUND(SUM(recreation_claude_v2_5!I175,recreation_claude_v2_4!I175,recreation_claude_v2_3!I175,recreation_claude_v2_2!I175,recreation_claude_v2_1!I175)/COUNT(recreation_claude_v2_5!I175,recreation_claude_v2_4!I175,recreation_claude_v2_3!I175,recreation_claude_v2_2!I175,recreation_claude_v2_1!I175),0),"NA")</f>
        <v>1</v>
      </c>
      <c r="I175">
        <f>IF($F175 = 1,ROUND(SUM(recreation_claude_v2_5!J175,recreation_claude_v2_4!J175,recreation_claude_v2_3!J175,recreation_claude_v2_2!J175,recreation_claude_v2_1!J175)/COUNT(recreation_claude_v2_5!J175,recreation_claude_v2_4!J175,recreation_claude_v2_3!J175,recreation_claude_v2_2!J175,recreation_claude_v2_1!J175),0),"NA")</f>
        <v>0</v>
      </c>
      <c r="J175">
        <f>IF($E175 = 1,ROUND(SUM(recreation_claude_v2_5!K175,recreation_claude_v2_4!K175,recreation_claude_v2_3!K175,recreation_claude_v2_2!K175,recreation_claude_v2_1!K175)/COUNT(recreation_claude_v2_5!K175,recreation_claude_v2_4!K175,recreation_claude_v2_3!K175,recreation_claude_v2_2!K175,recreation_claude_v2_1!K175),0),"NA")</f>
        <v>1</v>
      </c>
      <c r="K175">
        <f>IF(AND($F175 = 1, $G175 = 1),ROUND(SUM(recreation_claude_v2_5!L175,recreation_claude_v2_4!L175,recreation_claude_v2_3!L175,recreation_claude_v2_2!L175,recreation_claude_v2_1!L175)/COUNT(recreation_claude_v2_5!L175,recreation_claude_v2_4!L175,recreation_claude_v2_3!L175,recreation_claude_v2_2!L175,recreation_claude_v2_1!L175),0),"NA")</f>
        <v>1</v>
      </c>
      <c r="L175">
        <f>IF($E175 = 1,ROUND(SUM(recreation_claude_v2_5!L175,recreation_claude_v2_4!L175,recreation_claude_v2_3!L175,recreation_claude_v2_2!L175,recreation_claude_v2_1!L175)/COUNT(recreation_claude_v2_5!L175,recreation_claude_v2_4!L175,recreation_claude_v2_3!L175,recreation_claude_v2_2!L175,recreation_claude_v2_1!L175),0),"NA")</f>
        <v>1</v>
      </c>
      <c r="M175">
        <f>IF($E175 = 1,ROUND(SUM(recreation_claude_v2_5!M175,recreation_claude_v2_4!M175,recreation_claude_v2_3!M175,recreation_claude_v2_2!M175,recreation_claude_v2_1!M175)/COUNT(recreation_claude_v2_5!M175,recreation_claude_v2_4!M175,recreation_claude_v2_3!M175,recreation_claude_v2_2!M175,recreation_claude_v2_1!M175),0),"NA")</f>
        <v>1</v>
      </c>
      <c r="N175">
        <f>IF($E175 = 1,ROUND(SUM(recreation_claude_v2_5!N175,recreation_claude_v2_4!N175,recreation_claude_v2_3!N175,recreation_claude_v2_2!N175,recreation_claude_v2_1!N175)/COUNT(recreation_claude_v2_5!N175,recreation_claude_v2_4!N175,recreation_claude_v2_3!N175,recreation_claude_v2_2!N175,recreation_claude_v2_1!N175),0),"NA")</f>
        <v>1</v>
      </c>
      <c r="O175">
        <f>IF($E175 = 1,ROUND(SUM(recreation_claude_v2_5!O175,recreation_claude_v2_4!O175,recreation_claude_v2_3!O175,recreation_claude_v2_2!O175,recreation_claude_v2_1!O175)/COUNT(recreation_claude_v2_5!O175,recreation_claude_v2_4!O175,recreation_claude_v2_3!O175,recreation_claude_v2_2!O175,recreation_claude_v2_1!O175),0),"NA")</f>
        <v>1</v>
      </c>
    </row>
    <row r="176" spans="1:15" x14ac:dyDescent="0.25">
      <c r="A176" t="s">
        <v>140</v>
      </c>
      <c r="B176" t="s">
        <v>138</v>
      </c>
      <c r="C176">
        <v>0</v>
      </c>
      <c r="D176">
        <v>11.467172145843509</v>
      </c>
      <c r="E176">
        <f>ROUND(SUM(recreation_claude_v2_5!E176,recreation_claude_v2_4!E176,recreation_claude_v2_3!E176,recreation_claude_v2_2!E176,recreation_claude_v2_1!E176)/COUNT(recreation_claude_v2_5!E176,recreation_claude_v2_4!E176,recreation_claude_v2_3!E176,recreation_claude_v2_2!E176,recreation_claude_v2_1!E176),0)</f>
        <v>1</v>
      </c>
      <c r="F176">
        <f>IF($E176 = 1,ROUND(SUM(recreation_claude_v2_5!F176,recreation_claude_v2_4!F176,recreation_claude_v2_3!F176,recreation_claude_v2_2!F176,recreation_claude_v2_1!F176)/COUNT(recreation_claude_v2_5!F176,recreation_claude_v2_4!F176,recreation_claude_v2_3!F176,recreation_claude_v2_2!F176,recreation_claude_v2_1!F176),0),"NA")</f>
        <v>1</v>
      </c>
      <c r="G176">
        <f>IF($E176 = 1,ROUND(SUM(recreation_claude_v2_5!G176,recreation_claude_v2_4!G176,recreation_claude_v2_3!G176,recreation_claude_v2_2!G176,recreation_claude_v2_1!G176)/COUNT(recreation_claude_v2_5!G176,recreation_claude_v2_4!G176,recreation_claude_v2_3!G176,recreation_claude_v2_2!G176,recreation_claude_v2_1!G176),0),"NA")</f>
        <v>1</v>
      </c>
      <c r="H176">
        <f>IF($E176 = 1,ROUND(SUM(recreation_claude_v2_5!I176,recreation_claude_v2_4!I176,recreation_claude_v2_3!I176,recreation_claude_v2_2!I176,recreation_claude_v2_1!I176)/COUNT(recreation_claude_v2_5!I176,recreation_claude_v2_4!I176,recreation_claude_v2_3!I176,recreation_claude_v2_2!I176,recreation_claude_v2_1!I176),0),"NA")</f>
        <v>1</v>
      </c>
      <c r="I176">
        <f>IF($F176 = 1,ROUND(SUM(recreation_claude_v2_5!J176,recreation_claude_v2_4!J176,recreation_claude_v2_3!J176,recreation_claude_v2_2!J176,recreation_claude_v2_1!J176)/COUNT(recreation_claude_v2_5!J176,recreation_claude_v2_4!J176,recreation_claude_v2_3!J176,recreation_claude_v2_2!J176,recreation_claude_v2_1!J176),0),"NA")</f>
        <v>1</v>
      </c>
      <c r="J176">
        <f>IF($E176 = 1,ROUND(SUM(recreation_claude_v2_5!K176,recreation_claude_v2_4!K176,recreation_claude_v2_3!K176,recreation_claude_v2_2!K176,recreation_claude_v2_1!K176)/COUNT(recreation_claude_v2_5!K176,recreation_claude_v2_4!K176,recreation_claude_v2_3!K176,recreation_claude_v2_2!K176,recreation_claude_v2_1!K176),0),"NA")</f>
        <v>1</v>
      </c>
      <c r="K176">
        <f>IF(AND($F176 = 1, $G176 = 1),ROUND(SUM(recreation_claude_v2_5!L176,recreation_claude_v2_4!L176,recreation_claude_v2_3!L176,recreation_claude_v2_2!L176,recreation_claude_v2_1!L176)/COUNT(recreation_claude_v2_5!L176,recreation_claude_v2_4!L176,recreation_claude_v2_3!L176,recreation_claude_v2_2!L176,recreation_claude_v2_1!L176),0),"NA")</f>
        <v>1</v>
      </c>
      <c r="L176">
        <f>IF($E176 = 1,ROUND(SUM(recreation_claude_v2_5!L176,recreation_claude_v2_4!L176,recreation_claude_v2_3!L176,recreation_claude_v2_2!L176,recreation_claude_v2_1!L176)/COUNT(recreation_claude_v2_5!L176,recreation_claude_v2_4!L176,recreation_claude_v2_3!L176,recreation_claude_v2_2!L176,recreation_claude_v2_1!L176),0),"NA")</f>
        <v>1</v>
      </c>
      <c r="M176">
        <f>IF($E176 = 1,ROUND(SUM(recreation_claude_v2_5!M176,recreation_claude_v2_4!M176,recreation_claude_v2_3!M176,recreation_claude_v2_2!M176,recreation_claude_v2_1!M176)/COUNT(recreation_claude_v2_5!M176,recreation_claude_v2_4!M176,recreation_claude_v2_3!M176,recreation_claude_v2_2!M176,recreation_claude_v2_1!M176),0),"NA")</f>
        <v>1</v>
      </c>
      <c r="N176">
        <f>IF($E176 = 1,ROUND(SUM(recreation_claude_v2_5!N176,recreation_claude_v2_4!N176,recreation_claude_v2_3!N176,recreation_claude_v2_2!N176,recreation_claude_v2_1!N176)/COUNT(recreation_claude_v2_5!N176,recreation_claude_v2_4!N176,recreation_claude_v2_3!N176,recreation_claude_v2_2!N176,recreation_claude_v2_1!N176),0),"NA")</f>
        <v>1</v>
      </c>
      <c r="O176">
        <f>IF($E176 = 1,ROUND(SUM(recreation_claude_v2_5!O176,recreation_claude_v2_4!O176,recreation_claude_v2_3!O176,recreation_claude_v2_2!O176,recreation_claude_v2_1!O176)/COUNT(recreation_claude_v2_5!O176,recreation_claude_v2_4!O176,recreation_claude_v2_3!O176,recreation_claude_v2_2!O176,recreation_claude_v2_1!O176),0),"NA")</f>
        <v>1</v>
      </c>
    </row>
    <row r="177" spans="1:15" x14ac:dyDescent="0.25">
      <c r="A177" t="s">
        <v>140</v>
      </c>
      <c r="B177" t="s">
        <v>174</v>
      </c>
      <c r="C177">
        <v>0</v>
      </c>
      <c r="D177">
        <v>5.2077009677886963</v>
      </c>
      <c r="E177">
        <f>ROUND(SUM(recreation_claude_v2_5!E177,recreation_claude_v2_4!E177,recreation_claude_v2_3!E177,recreation_claude_v2_2!E177,recreation_claude_v2_1!E177)/COUNT(recreation_claude_v2_5!E177,recreation_claude_v2_4!E177,recreation_claude_v2_3!E177,recreation_claude_v2_2!E177,recreation_claude_v2_1!E177),0)</f>
        <v>1</v>
      </c>
      <c r="F177">
        <f>IF($E177 = 1,ROUND(SUM(recreation_claude_v2_5!F177,recreation_claude_v2_4!F177,recreation_claude_v2_3!F177,recreation_claude_v2_2!F177,recreation_claude_v2_1!F177)/COUNT(recreation_claude_v2_5!F177,recreation_claude_v2_4!F177,recreation_claude_v2_3!F177,recreation_claude_v2_2!F177,recreation_claude_v2_1!F177),0),"NA")</f>
        <v>1</v>
      </c>
      <c r="G177">
        <f>IF($E177 = 1,ROUND(SUM(recreation_claude_v2_5!G177,recreation_claude_v2_4!G177,recreation_claude_v2_3!G177,recreation_claude_v2_2!G177,recreation_claude_v2_1!G177)/COUNT(recreation_claude_v2_5!G177,recreation_claude_v2_4!G177,recreation_claude_v2_3!G177,recreation_claude_v2_2!G177,recreation_claude_v2_1!G177),0),"NA")</f>
        <v>1</v>
      </c>
      <c r="H177">
        <f>IF($E177 = 1,ROUND(SUM(recreation_claude_v2_5!I177,recreation_claude_v2_4!I177,recreation_claude_v2_3!I177,recreation_claude_v2_2!I177,recreation_claude_v2_1!I177)/COUNT(recreation_claude_v2_5!I177,recreation_claude_v2_4!I177,recreation_claude_v2_3!I177,recreation_claude_v2_2!I177,recreation_claude_v2_1!I177),0),"NA")</f>
        <v>1</v>
      </c>
      <c r="I177">
        <f>IF($F177 = 1,ROUND(SUM(recreation_claude_v2_5!J177,recreation_claude_v2_4!J177,recreation_claude_v2_3!J177,recreation_claude_v2_2!J177,recreation_claude_v2_1!J177)/COUNT(recreation_claude_v2_5!J177,recreation_claude_v2_4!J177,recreation_claude_v2_3!J177,recreation_claude_v2_2!J177,recreation_claude_v2_1!J177),0),"NA")</f>
        <v>0</v>
      </c>
      <c r="J177">
        <f>IF($E177 = 1,ROUND(SUM(recreation_claude_v2_5!K177,recreation_claude_v2_4!K177,recreation_claude_v2_3!K177,recreation_claude_v2_2!K177,recreation_claude_v2_1!K177)/COUNT(recreation_claude_v2_5!K177,recreation_claude_v2_4!K177,recreation_claude_v2_3!K177,recreation_claude_v2_2!K177,recreation_claude_v2_1!K177),0),"NA")</f>
        <v>1</v>
      </c>
      <c r="K177">
        <f>IF(AND($F177 = 1, $G177 = 1),ROUND(SUM(recreation_claude_v2_5!L177,recreation_claude_v2_4!L177,recreation_claude_v2_3!L177,recreation_claude_v2_2!L177,recreation_claude_v2_1!L177)/COUNT(recreation_claude_v2_5!L177,recreation_claude_v2_4!L177,recreation_claude_v2_3!L177,recreation_claude_v2_2!L177,recreation_claude_v2_1!L177),0),"NA")</f>
        <v>1</v>
      </c>
      <c r="L177">
        <f>IF($E177 = 1,ROUND(SUM(recreation_claude_v2_5!L177,recreation_claude_v2_4!L177,recreation_claude_v2_3!L177,recreation_claude_v2_2!L177,recreation_claude_v2_1!L177)/COUNT(recreation_claude_v2_5!L177,recreation_claude_v2_4!L177,recreation_claude_v2_3!L177,recreation_claude_v2_2!L177,recreation_claude_v2_1!L177),0),"NA")</f>
        <v>1</v>
      </c>
      <c r="M177">
        <f>IF($E177 = 1,ROUND(SUM(recreation_claude_v2_5!M177,recreation_claude_v2_4!M177,recreation_claude_v2_3!M177,recreation_claude_v2_2!M177,recreation_claude_v2_1!M177)/COUNT(recreation_claude_v2_5!M177,recreation_claude_v2_4!M177,recreation_claude_v2_3!M177,recreation_claude_v2_2!M177,recreation_claude_v2_1!M177),0),"NA")</f>
        <v>1</v>
      </c>
      <c r="N177">
        <f>IF($E177 = 1,ROUND(SUM(recreation_claude_v2_5!N177,recreation_claude_v2_4!N177,recreation_claude_v2_3!N177,recreation_claude_v2_2!N177,recreation_claude_v2_1!N177)/COUNT(recreation_claude_v2_5!N177,recreation_claude_v2_4!N177,recreation_claude_v2_3!N177,recreation_claude_v2_2!N177,recreation_claude_v2_1!N177),0),"NA")</f>
        <v>1</v>
      </c>
      <c r="O177">
        <f>IF($E177 = 1,ROUND(SUM(recreation_claude_v2_5!O177,recreation_claude_v2_4!O177,recreation_claude_v2_3!O177,recreation_claude_v2_2!O177,recreation_claude_v2_1!O177)/COUNT(recreation_claude_v2_5!O177,recreation_claude_v2_4!O177,recreation_claude_v2_3!O177,recreation_claude_v2_2!O177,recreation_claude_v2_1!O177),0),"NA")</f>
        <v>1</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recreation_claude_v2_1</vt:lpstr>
      <vt:lpstr>recreation_claude_v2_2</vt:lpstr>
      <vt:lpstr>recreation_claude_v2_3</vt:lpstr>
      <vt:lpstr>recreation_claude_v2_4</vt:lpstr>
      <vt:lpstr>recreation_claude_v2_5</vt:lpstr>
      <vt:lpstr>Compiled Votes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#BUI GIA NHAT MINH#</cp:lastModifiedBy>
  <dcterms:created xsi:type="dcterms:W3CDTF">2025-07-28T06:28:39Z</dcterms:created>
  <dcterms:modified xsi:type="dcterms:W3CDTF">2025-07-28T06:45:16Z</dcterms:modified>
</cp:coreProperties>
</file>