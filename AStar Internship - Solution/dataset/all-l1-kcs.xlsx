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min\Downloads\"/>
    </mc:Choice>
  </mc:AlternateContent>
  <xr:revisionPtr revIDLastSave="0" documentId="13_ncr:1_{2BBC79B1-A0FB-46CE-8609-E93995D129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imary level" sheetId="4" r:id="rId1"/>
    <sheet name="O level" sheetId="1" r:id="rId2"/>
    <sheet name="All-Level-1-KC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J58" i="1"/>
  <c r="J59" i="1"/>
  <c r="I59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</calcChain>
</file>

<file path=xl/sharedStrings.xml><?xml version="1.0" encoding="utf-8"?>
<sst xmlns="http://schemas.openxmlformats.org/spreadsheetml/2006/main" count="1260" uniqueCount="265">
  <si>
    <t>Grade</t>
  </si>
  <si>
    <t>Order</t>
  </si>
  <si>
    <t>Numbers and their operations</t>
  </si>
  <si>
    <t>primes and prime factorisation</t>
  </si>
  <si>
    <t>finding highest common factor (HCF) and lowest common multiple (LCM), squares, cubes, square roots and cube roots by prime factorisation</t>
  </si>
  <si>
    <t>negative numbers, integers, rational numbers, real numbers and their four operations</t>
  </si>
  <si>
    <t>calculations with calculator</t>
  </si>
  <si>
    <t>representation and ordering of numbers on the number line</t>
  </si>
  <si>
    <t>use of &lt;, &gt;, ≤, ≥</t>
  </si>
  <si>
    <t>approximation and estimation (including rounding off numbers to a required number of decimal places or significant figures, and estimating the results of computation)</t>
  </si>
  <si>
    <t>Ratio and proportion</t>
  </si>
  <si>
    <t>dividing a quantity in a given ratio</t>
  </si>
  <si>
    <t>ratios involving rational numbers</t>
  </si>
  <si>
    <t>equivalent ratios</t>
  </si>
  <si>
    <t>writing a ratio in its simplest form</t>
  </si>
  <si>
    <t>problems involving ratio</t>
  </si>
  <si>
    <t>Percentage</t>
  </si>
  <si>
    <t>expressing percentage as a fraction or decimal</t>
  </si>
  <si>
    <t>comparing two quantities by percentage</t>
  </si>
  <si>
    <t>percentages greater than 100%</t>
  </si>
  <si>
    <t>increasing/decreasing a quantity by a given percentage (including concept of percentage point)</t>
  </si>
  <si>
    <t>finding percentage increase/decrease</t>
  </si>
  <si>
    <t>reverse percentages</t>
  </si>
  <si>
    <t>problems involving percentages</t>
  </si>
  <si>
    <t>Rate and Speed</t>
  </si>
  <si>
    <t>concepts of average rate, speed, constant speed and average speed</t>
  </si>
  <si>
    <t>conversion of units (e.g. km/h to m/s)</t>
  </si>
  <si>
    <t>problems involving rate and speed</t>
  </si>
  <si>
    <t>Algebraic expressions and formulae</t>
  </si>
  <si>
    <t>using letters to represent numbers</t>
  </si>
  <si>
    <t>evaluation of algebraic expressions and formulae</t>
  </si>
  <si>
    <t>translation of simple real-world situations into algebraic expressions</t>
  </si>
  <si>
    <t>addition and subtraction of linear expressions</t>
  </si>
  <si>
    <t>simplification of linear expressions with integral coefficients</t>
  </si>
  <si>
    <t>Equations and inequalities</t>
  </si>
  <si>
    <t>formulating a linear equation in one variable to solve problems</t>
  </si>
  <si>
    <t>use brackets and extract common factors</t>
  </si>
  <si>
    <t>concept of equation</t>
  </si>
  <si>
    <t>solving linear equations in one variable</t>
  </si>
  <si>
    <t>solving simple fractional equations that can be reduced to linear equations</t>
  </si>
  <si>
    <t>map scales (distance and area)</t>
  </si>
  <si>
    <t>direct and inverse proportion</t>
  </si>
  <si>
    <t>expansion of the product of algebraic expressions</t>
  </si>
  <si>
    <t>changing the subject of a formula</t>
  </si>
  <si>
    <t>finding the value of an unknown quantity in a given formula</t>
  </si>
  <si>
    <t>first 3 algebraic idendities</t>
  </si>
  <si>
    <t>factorisation of linear expressions of the form 𝑎𝑥 + 𝑏𝑥 + 𝑘𝑎𝑦 +𝑘𝑏𝑦</t>
  </si>
  <si>
    <t xml:space="preserve">factorisation of quadratic expressions </t>
  </si>
  <si>
    <t>multiplication and division of simple algebraic fractions</t>
  </si>
  <si>
    <t>concept of equation and inequality</t>
  </si>
  <si>
    <t>graphs of linear equations in two variables (𝑎𝑥 + 𝑏𝑦 = 𝑐)</t>
  </si>
  <si>
    <t>solving quadratic equations in one variable by factorisation</t>
  </si>
  <si>
    <t>formulating a pair of linear equations in two variables to solve problems</t>
  </si>
  <si>
    <t xml:space="preserve">Numbers and their operations </t>
  </si>
  <si>
    <t>use of standard form Ax10^n , where n is an integer, and 1&lt;= A&lt;= 10</t>
  </si>
  <si>
    <t>positive, negative, zero and fractional indices</t>
  </si>
  <si>
    <t>laws of indices</t>
  </si>
  <si>
    <t>solving fractional equations that can be reduced to quadratic equations</t>
  </si>
  <si>
    <t>solving linear inequalities in one variable (including simultaneous inequalities) and representing the solution on the number line</t>
  </si>
  <si>
    <t>formulating a quadratic equation in one variable to solve problems</t>
  </si>
  <si>
    <t>addition and subtraction of algebraic fractions with linear or quadratic denominator</t>
  </si>
  <si>
    <t>solving simple inequalities in the form ax + b &lt;= c and ax + b &lt; c and representing the solutions on the number line</t>
  </si>
  <si>
    <t>interpreting notations: Multiplication, Division, Exponential, Addition and Multiplication, Distributive property, Fractional expressions</t>
  </si>
  <si>
    <t>recognising and representing patterns/relationships by finding an algebraic expression for the nth term</t>
  </si>
  <si>
    <t>WHOLE NUMBERS</t>
  </si>
  <si>
    <t>Numbers up to 100</t>
  </si>
  <si>
    <t>counting to tell the number of objects in a given set</t>
  </si>
  <si>
    <t>number notation, representations and place values (tens, ones)</t>
  </si>
  <si>
    <t>reading and writing numbers in numerals and in words</t>
  </si>
  <si>
    <t>comparing the number of objects in two or more sets</t>
  </si>
  <si>
    <t>comparing and ordering numbers</t>
  </si>
  <si>
    <t>patterns in number sequences</t>
  </si>
  <si>
    <t>ordinal numbers (first, second, up to tenth) and symbols (1st, 2nd, 3rd, etc.)</t>
  </si>
  <si>
    <t>Addition and Subtraction</t>
  </si>
  <si>
    <t>concepts of addition and subtraction</t>
  </si>
  <si>
    <t xml:space="preserve">use of +, – and = </t>
  </si>
  <si>
    <t>relationship between addition and subtraction</t>
  </si>
  <si>
    <t>adding more than two 1-digit numbers</t>
  </si>
  <si>
    <t>adding and subtracting within 100</t>
  </si>
  <si>
    <t xml:space="preserve">adding and subtracting using algorithms </t>
  </si>
  <si>
    <t>mental calculation involving addition and subtraction within 20, of a 2-digit number and ones without renaming, of a 2-digit number and tens</t>
  </si>
  <si>
    <t>Multiplication and Division</t>
  </si>
  <si>
    <t>concepts of multiplication and division</t>
  </si>
  <si>
    <t>use of x</t>
  </si>
  <si>
    <t>multiplying within 40</t>
  </si>
  <si>
    <t>dividing within 20</t>
  </si>
  <si>
    <t>MONEY</t>
  </si>
  <si>
    <t>Money</t>
  </si>
  <si>
    <t>counting amount of money, in cents up to $1, in dollars up to $100</t>
  </si>
  <si>
    <t>Numbers up to 1000</t>
  </si>
  <si>
    <t>counting in tens/hundreds</t>
  </si>
  <si>
    <t>number notation, representations and place values (hundreds, tens, ones)</t>
  </si>
  <si>
    <t>odd and even numbers</t>
  </si>
  <si>
    <t>addition and subtraction algorithms (up to 3 digits)</t>
  </si>
  <si>
    <t>mental calculation involving addition and subtraction of a 3-digit number and ones/tens/hundreds</t>
  </si>
  <si>
    <t>multiplication tables of 2, 3, 4, 5 and 10</t>
  </si>
  <si>
    <t>use of ÷</t>
  </si>
  <si>
    <t>relationship between multiplication and division</t>
  </si>
  <si>
    <t>multiplying and dividing within the multiplication tables</t>
  </si>
  <si>
    <t>mental calculation involving multiplication and division within multiplication tables of 2, 3, 4, 5 and 10</t>
  </si>
  <si>
    <t>FRACTIONS</t>
  </si>
  <si>
    <t>Fraction of a Whole</t>
  </si>
  <si>
    <t>fraction as part of a whole</t>
  </si>
  <si>
    <t>notation and representations of fractions</t>
  </si>
  <si>
    <t>comparing and ordering unit or like fractions with denominators of given fractions not exceeding 12</t>
  </si>
  <si>
    <t>adding and subtracting like fractions within one whole with denominators of given fractions not exceeding 12</t>
  </si>
  <si>
    <t>counting amount of money in dollars and cents</t>
  </si>
  <si>
    <t>reading and writing money in decimal notation</t>
  </si>
  <si>
    <t>comparing two or three amounts of money</t>
  </si>
  <si>
    <t>converting an amount of money in decimal notation to cents only, and vice versa</t>
  </si>
  <si>
    <t>Numbers up to 10000</t>
  </si>
  <si>
    <t>counting in hundreds/thousands</t>
  </si>
  <si>
    <t>number notation, representations and place values (thousands, hundreds, tens, ones)</t>
  </si>
  <si>
    <t>addition and subtraction algorithms (up to 4 digits)</t>
  </si>
  <si>
    <t>mental calculation involving addition and subtraction of two 2-digit numbers</t>
  </si>
  <si>
    <t>multiplication tables of 6, 7, 8 and 9</t>
  </si>
  <si>
    <t>division with remainder</t>
  </si>
  <si>
    <t>multiplication and division algorithms (up to 3 digits by 1 digit)</t>
  </si>
  <si>
    <t>mental calculation involving multiplication and division within multiplication tables</t>
  </si>
  <si>
    <t>Equivalent fractions</t>
  </si>
  <si>
    <t>equivalent fractions</t>
  </si>
  <si>
    <t>expressing a fraction in its simplest form</t>
  </si>
  <si>
    <t>comparing and ordering unlike fractions with denominators of given fractions not exceeding 12</t>
  </si>
  <si>
    <t>writing the equivalent fraction of a fraction given the denominator or the numerator</t>
  </si>
  <si>
    <t>adding and subtracting two related fractions within one whole with denominators of given fractions not exceeding 12</t>
  </si>
  <si>
    <t>adding and subtracting money in decimal notation</t>
  </si>
  <si>
    <t>Numbers up to 100000</t>
  </si>
  <si>
    <t>number notation, representations and place values (ten thousands, thousands, hundreds, tens, ones)</t>
  </si>
  <si>
    <t xml:space="preserve">rounding numbers to the nearest 10, 100 or 1000 </t>
  </si>
  <si>
    <t>Factors and Multiples</t>
  </si>
  <si>
    <t>factors, multiples and their relationship</t>
  </si>
  <si>
    <t>determining if a 1-digit number is a factor of a given number within 100</t>
  </si>
  <si>
    <t>finding the common factors of two given numbers</t>
  </si>
  <si>
    <t>determining if a number is a multiple of a given 1-digit number</t>
  </si>
  <si>
    <t>finding the common multiples of two given 1-digit numbers</t>
  </si>
  <si>
    <t>Four Operations</t>
  </si>
  <si>
    <t>multiplication algorithm up to 4 digits by 1 digit or up to 3 digits by 2 digits</t>
  </si>
  <si>
    <t>division algorithm (up to 4 digits by 1 digit)</t>
  </si>
  <si>
    <t>Mixed Numbers and Improper Fractions</t>
  </si>
  <si>
    <t>mixed numbers, improper fractions and their relationship</t>
  </si>
  <si>
    <t>Fraction of a Set</t>
  </si>
  <si>
    <t xml:space="preserve">fraction as part of a set </t>
  </si>
  <si>
    <t>adding and subtracting fractions with denominators of given fractions not exceeding 12 and not more than two different denominators</t>
  </si>
  <si>
    <t>solving up to 2-step word problems involving addition and subtraction</t>
  </si>
  <si>
    <t>DECIMALS</t>
  </si>
  <si>
    <t>Decimals up to 3 decimal places</t>
  </si>
  <si>
    <t xml:space="preserve">notation, representations and place values (tenths, hundredths, thousandths) </t>
  </si>
  <si>
    <t>comparing and ordering decimals</t>
  </si>
  <si>
    <t>expressing decimals as fractions</t>
  </si>
  <si>
    <t>expressing fractions as decimals when the denominator is a factor of 10 or 100</t>
  </si>
  <si>
    <t xml:space="preserve">rounding decimals to the nearest whole number, 1 decimal place and 2 decimal places </t>
  </si>
  <si>
    <t>adding and subtracting decimals (up to 2 decimal places)</t>
  </si>
  <si>
    <t>multiplying and dividing decimals (up to 2 decimal places) by a 1-digit whole number</t>
  </si>
  <si>
    <t>dividing a whole number by a whole number with quotient as a decimal</t>
  </si>
  <si>
    <t>rounding answers to a specified degree of accuracy</t>
  </si>
  <si>
    <t>Numbers up to 10 million</t>
  </si>
  <si>
    <t xml:space="preserve">reading and writing numbers in numerals and in words </t>
  </si>
  <si>
    <t>multiplying and dividing by 10, 100, 1000 and their multiples without calculator</t>
  </si>
  <si>
    <t>order of operations without calculator</t>
  </si>
  <si>
    <t>use of brackets without calculator</t>
  </si>
  <si>
    <t>Fraction and Division</t>
  </si>
  <si>
    <t>dividing a whole number by a whole number with quotient as a fraction</t>
  </si>
  <si>
    <t>expressing fractions as decimals</t>
  </si>
  <si>
    <t>adding and subtracting mixed numbers</t>
  </si>
  <si>
    <t>multiplying a proper/improper fraction and a whole number without calculator</t>
  </si>
  <si>
    <t>multiplying a proper fraction and a proper/ improper fractions without calculator</t>
  </si>
  <si>
    <t>multiplying two improper fractions</t>
  </si>
  <si>
    <t>multiplying a mixed number and a whole number</t>
  </si>
  <si>
    <t>solving word problems involving addition, subtraction and multiplication</t>
  </si>
  <si>
    <t>multiplying and dividing decimals (up to 3 decimal places) by 10, 100, 1000 and their multiples without calculator</t>
  </si>
  <si>
    <t>converting a measurement from a smaller unit to a larger unit in decimal form, and vice versa, e.g., kilometres and metres, metres and centimetres, kilograms and grams, litres and millilitres</t>
  </si>
  <si>
    <t>PERCENTAGE</t>
  </si>
  <si>
    <t>expressing a part of a whole as a percentage</t>
  </si>
  <si>
    <t>use of %</t>
  </si>
  <si>
    <t>finding a percentage part of a whole</t>
  </si>
  <si>
    <t>finding discount, GST and annual interes</t>
  </si>
  <si>
    <t>RATE</t>
  </si>
  <si>
    <t>Rate</t>
  </si>
  <si>
    <t>rate as the amount of a quantity per unit of another quantity</t>
  </si>
  <si>
    <t>finding rate, total amount or number of units given the other two quantities</t>
  </si>
  <si>
    <t>dividing a proper fraction by a whole number without calculator</t>
  </si>
  <si>
    <t>dividing a whole number/proper fraction by a proper fraction without calculator</t>
  </si>
  <si>
    <t>solving word problems involving the four operations</t>
  </si>
  <si>
    <t>finding the whole given a part and the percentage</t>
  </si>
  <si>
    <t>RATIO</t>
  </si>
  <si>
    <t>Ratio</t>
  </si>
  <si>
    <t>notation, representations and interpretation of a:b and a:b:c, where a, b and c are whole numbers, excluding ratios involving fractions and decimals</t>
  </si>
  <si>
    <t>expressing a ratio in its simplest form</t>
  </si>
  <si>
    <t>finding the ratio of two or three given quantities</t>
  </si>
  <si>
    <t>finding the missing term in a pair of equivalent ratios</t>
  </si>
  <si>
    <t>relationship between fraction and ratio</t>
  </si>
  <si>
    <t>ALGEBRA</t>
  </si>
  <si>
    <t>Algebra</t>
  </si>
  <si>
    <t>using a letter to represent an unknown number</t>
  </si>
  <si>
    <t>notation, representations and interpretation of simple algebraic expressions such as a+3, a-3, a*3 or 3a, a÷3 or a/3</t>
  </si>
  <si>
    <t>simplifying simple linear expressions excluding brackets</t>
  </si>
  <si>
    <t>evaluating simple linear expressions by substitution</t>
  </si>
  <si>
    <t>simple linear equations involving whole number coefficient only</t>
  </si>
  <si>
    <t>solving simultaneous linear equations in two variables by substitution and elimination methods, by graphical method</t>
  </si>
  <si>
    <t>solving quadratic equations in one variable by use of formula, by completing the square for y = x^2+px+q, by graphical method</t>
  </si>
  <si>
    <t xml:space="preserve">use of ≈ </t>
  </si>
  <si>
    <t>NUMBER AND ALGEBRA</t>
  </si>
  <si>
    <t>Level_1</t>
  </si>
  <si>
    <t>Level_2</t>
  </si>
  <si>
    <t>STATISTICS AND PROBABILITY</t>
  </si>
  <si>
    <t>Probability</t>
  </si>
  <si>
    <t xml:space="preserve">probability as a measure of chance </t>
  </si>
  <si>
    <t>probability of single events (including listing all the possible outcomes in a simple chance situation to calculate the probability)</t>
  </si>
  <si>
    <t>probability of simple combined events (including using possibility diagrams and tree diagrams, where appropriate)</t>
  </si>
  <si>
    <t>addition and multiplication of probabilities (mutually exclusive events and independent events)</t>
  </si>
  <si>
    <t>Sub_strand</t>
  </si>
  <si>
    <t>KC</t>
  </si>
  <si>
    <t>Secondary O-level 1</t>
  </si>
  <si>
    <t>Secondary O-level 2</t>
  </si>
  <si>
    <t>Secondary O-level 3/4</t>
  </si>
  <si>
    <t>Primary 1</t>
  </si>
  <si>
    <t>Primary 2</t>
  </si>
  <si>
    <t>Primary 3</t>
  </si>
  <si>
    <t>Primary 4</t>
  </si>
  <si>
    <t>Primary 5</t>
  </si>
  <si>
    <t>Primary 6</t>
  </si>
  <si>
    <t>Grade_ID</t>
  </si>
  <si>
    <t>P1</t>
  </si>
  <si>
    <t>P2</t>
  </si>
  <si>
    <t>P3</t>
  </si>
  <si>
    <t>P4</t>
  </si>
  <si>
    <t>P5</t>
  </si>
  <si>
    <t>P6</t>
  </si>
  <si>
    <t>O1</t>
  </si>
  <si>
    <t>O2</t>
  </si>
  <si>
    <t>O3</t>
  </si>
  <si>
    <t>Question ID</t>
  </si>
  <si>
    <t>ID</t>
  </si>
  <si>
    <t>Level_1_short</t>
  </si>
  <si>
    <t>N100</t>
  </si>
  <si>
    <t>N1000</t>
  </si>
  <si>
    <t>AddSub</t>
  </si>
  <si>
    <t>MulDiv</t>
  </si>
  <si>
    <t>Level_2_no</t>
  </si>
  <si>
    <t>FracAS</t>
  </si>
  <si>
    <t>N10k</t>
  </si>
  <si>
    <t>FracEq</t>
  </si>
  <si>
    <t>N100k</t>
  </si>
  <si>
    <t>FctorM</t>
  </si>
  <si>
    <t>4Op</t>
  </si>
  <si>
    <t>FracMI</t>
  </si>
  <si>
    <t>FracSet</t>
  </si>
  <si>
    <t>FracW</t>
  </si>
  <si>
    <t>Deci3d</t>
  </si>
  <si>
    <t>DeciAS</t>
  </si>
  <si>
    <t>DeciMD</t>
  </si>
  <si>
    <t>N1m</t>
  </si>
  <si>
    <t>FracDv</t>
  </si>
  <si>
    <t>Frac4Op</t>
  </si>
  <si>
    <t>Deci4Op</t>
  </si>
  <si>
    <t>rate</t>
  </si>
  <si>
    <t>perctg</t>
  </si>
  <si>
    <t>ratio</t>
  </si>
  <si>
    <t>algebr</t>
  </si>
  <si>
    <t>RioPro</t>
  </si>
  <si>
    <t>RatSpd</t>
  </si>
  <si>
    <t>AgbrEF</t>
  </si>
  <si>
    <t>EqIneq</t>
  </si>
  <si>
    <t>Prob</t>
  </si>
  <si>
    <t>NumOps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</si>
</sst>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000000"/>
      <name val="Calibri"/>
      <family val="2"/>
      <charset val="163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49" fontId="6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2CF-CE13-4BC0-ADA8-18CE45A41EB8}">
  <dimension ref="A1:J122"/>
  <sheetViews>
    <sheetView topLeftCell="A101" zoomScale="89" zoomScaleNormal="130" workbookViewId="0">
      <selection sqref="A1:H123"/>
    </sheetView>
  </sheetViews>
  <sheetFormatPr defaultRowHeight="13.8" x14ac:dyDescent="0.25"/>
  <cols>
    <col min="1" max="1" width="9.69921875" bestFit="1" customWidth="1"/>
    <col min="2" max="2" width="12.19921875" bestFit="1" customWidth="1"/>
    <col min="3" max="3" width="19.796875" style="1" bestFit="1" customWidth="1"/>
    <col min="4" max="4" width="9" bestFit="1" customWidth="1"/>
    <col min="5" max="5" width="25.59765625" style="1" customWidth="1"/>
    <col min="6" max="6" width="17.5" style="1" customWidth="1"/>
    <col min="7" max="7" width="13" style="1" customWidth="1"/>
    <col min="8" max="8" width="173" customWidth="1"/>
    <col min="9" max="9" width="188.296875" bestFit="1" customWidth="1"/>
    <col min="10" max="10" width="15.296875" bestFit="1" customWidth="1"/>
  </cols>
  <sheetData>
    <row r="1" spans="1:10" ht="18" x14ac:dyDescent="0.35">
      <c r="A1" s="7" t="s">
        <v>0</v>
      </c>
      <c r="B1" s="7" t="s">
        <v>221</v>
      </c>
      <c r="C1" s="7" t="s">
        <v>210</v>
      </c>
      <c r="D1" s="7" t="s">
        <v>1</v>
      </c>
      <c r="E1" s="7" t="s">
        <v>202</v>
      </c>
      <c r="F1" s="7" t="s">
        <v>233</v>
      </c>
      <c r="G1" s="9" t="s">
        <v>238</v>
      </c>
      <c r="H1" s="7" t="s">
        <v>203</v>
      </c>
      <c r="I1" s="7" t="s">
        <v>211</v>
      </c>
      <c r="J1" s="7" t="s">
        <v>231</v>
      </c>
    </row>
    <row r="2" spans="1:10" ht="14.4" x14ac:dyDescent="0.3">
      <c r="A2" s="8" t="s">
        <v>215</v>
      </c>
      <c r="B2" s="8" t="s">
        <v>222</v>
      </c>
      <c r="C2" s="8" t="s">
        <v>64</v>
      </c>
      <c r="D2" s="8">
        <v>1</v>
      </c>
      <c r="E2" s="8" t="s">
        <v>65</v>
      </c>
      <c r="F2" s="8" t="s">
        <v>234</v>
      </c>
      <c r="G2" s="8">
        <v>1</v>
      </c>
      <c r="H2" s="8" t="s">
        <v>66</v>
      </c>
      <c r="I2" s="5" t="str">
        <f t="shared" ref="I2:I33" si="0">E2 &amp; " : " &amp; H2</f>
        <v>Numbers up to 100 : counting to tell the number of objects in a given set</v>
      </c>
      <c r="J2" s="5" t="str">
        <f t="shared" ref="J2:J33" si="1" xml:space="preserve"> B2 &amp; TEXT(D2, "00")</f>
        <v>P101</v>
      </c>
    </row>
    <row r="3" spans="1:10" ht="14.4" x14ac:dyDescent="0.3">
      <c r="A3" s="8" t="s">
        <v>215</v>
      </c>
      <c r="B3" s="8" t="s">
        <v>222</v>
      </c>
      <c r="C3" s="8" t="s">
        <v>64</v>
      </c>
      <c r="D3" s="8">
        <v>2</v>
      </c>
      <c r="E3" s="8" t="s">
        <v>65</v>
      </c>
      <c r="F3" s="8" t="s">
        <v>234</v>
      </c>
      <c r="G3" s="8">
        <v>2</v>
      </c>
      <c r="H3" s="8" t="s">
        <v>67</v>
      </c>
      <c r="I3" s="5" t="str">
        <f t="shared" si="0"/>
        <v>Numbers up to 100 : number notation, representations and place values (tens, ones)</v>
      </c>
      <c r="J3" s="5" t="str">
        <f t="shared" si="1"/>
        <v>P102</v>
      </c>
    </row>
    <row r="4" spans="1:10" ht="14.4" x14ac:dyDescent="0.3">
      <c r="A4" s="8" t="s">
        <v>215</v>
      </c>
      <c r="B4" s="8" t="s">
        <v>222</v>
      </c>
      <c r="C4" s="8" t="s">
        <v>64</v>
      </c>
      <c r="D4" s="8">
        <v>3</v>
      </c>
      <c r="E4" s="8" t="s">
        <v>65</v>
      </c>
      <c r="F4" s="8" t="s">
        <v>234</v>
      </c>
      <c r="G4" s="8">
        <v>3</v>
      </c>
      <c r="H4" s="8" t="s">
        <v>68</v>
      </c>
      <c r="I4" s="5" t="str">
        <f t="shared" si="0"/>
        <v>Numbers up to 100 : reading and writing numbers in numerals and in words</v>
      </c>
      <c r="J4" s="5" t="str">
        <f t="shared" si="1"/>
        <v>P103</v>
      </c>
    </row>
    <row r="5" spans="1:10" ht="14.4" x14ac:dyDescent="0.3">
      <c r="A5" s="8" t="s">
        <v>215</v>
      </c>
      <c r="B5" s="8" t="s">
        <v>222</v>
      </c>
      <c r="C5" s="8" t="s">
        <v>64</v>
      </c>
      <c r="D5" s="8">
        <v>4</v>
      </c>
      <c r="E5" s="8" t="s">
        <v>65</v>
      </c>
      <c r="F5" s="8" t="s">
        <v>234</v>
      </c>
      <c r="G5" s="8">
        <v>4</v>
      </c>
      <c r="H5" s="8" t="s">
        <v>69</v>
      </c>
      <c r="I5" s="5" t="str">
        <f t="shared" si="0"/>
        <v>Numbers up to 100 : comparing the number of objects in two or more sets</v>
      </c>
      <c r="J5" s="5" t="str">
        <f t="shared" si="1"/>
        <v>P104</v>
      </c>
    </row>
    <row r="6" spans="1:10" ht="14.4" x14ac:dyDescent="0.3">
      <c r="A6" s="8" t="s">
        <v>215</v>
      </c>
      <c r="B6" s="8" t="s">
        <v>222</v>
      </c>
      <c r="C6" s="8" t="s">
        <v>64</v>
      </c>
      <c r="D6" s="8">
        <v>5</v>
      </c>
      <c r="E6" s="8" t="s">
        <v>65</v>
      </c>
      <c r="F6" s="8" t="s">
        <v>234</v>
      </c>
      <c r="G6" s="8">
        <v>5</v>
      </c>
      <c r="H6" s="8" t="s">
        <v>70</v>
      </c>
      <c r="I6" s="5" t="str">
        <f t="shared" si="0"/>
        <v>Numbers up to 100 : comparing and ordering numbers</v>
      </c>
      <c r="J6" s="5" t="str">
        <f t="shared" si="1"/>
        <v>P105</v>
      </c>
    </row>
    <row r="7" spans="1:10" ht="14.4" x14ac:dyDescent="0.3">
      <c r="A7" s="8" t="s">
        <v>215</v>
      </c>
      <c r="B7" s="8" t="s">
        <v>222</v>
      </c>
      <c r="C7" s="8" t="s">
        <v>64</v>
      </c>
      <c r="D7" s="8">
        <v>6</v>
      </c>
      <c r="E7" s="8" t="s">
        <v>65</v>
      </c>
      <c r="F7" s="8" t="s">
        <v>234</v>
      </c>
      <c r="G7" s="8">
        <v>6</v>
      </c>
      <c r="H7" s="8" t="s">
        <v>71</v>
      </c>
      <c r="I7" s="5" t="str">
        <f t="shared" si="0"/>
        <v>Numbers up to 100 : patterns in number sequences</v>
      </c>
      <c r="J7" s="5" t="str">
        <f t="shared" si="1"/>
        <v>P106</v>
      </c>
    </row>
    <row r="8" spans="1:10" ht="14.4" x14ac:dyDescent="0.3">
      <c r="A8" s="8" t="s">
        <v>215</v>
      </c>
      <c r="B8" s="8" t="s">
        <v>222</v>
      </c>
      <c r="C8" s="8" t="s">
        <v>64</v>
      </c>
      <c r="D8" s="8">
        <v>7</v>
      </c>
      <c r="E8" s="8" t="s">
        <v>65</v>
      </c>
      <c r="F8" s="8" t="s">
        <v>234</v>
      </c>
      <c r="G8" s="8">
        <v>7</v>
      </c>
      <c r="H8" s="8" t="s">
        <v>72</v>
      </c>
      <c r="I8" s="5" t="str">
        <f t="shared" si="0"/>
        <v>Numbers up to 100 : ordinal numbers (first, second, up to tenth) and symbols (1st, 2nd, 3rd, etc.)</v>
      </c>
      <c r="J8" s="5" t="str">
        <f t="shared" si="1"/>
        <v>P107</v>
      </c>
    </row>
    <row r="9" spans="1:10" ht="14.4" x14ac:dyDescent="0.3">
      <c r="A9" s="8" t="s">
        <v>215</v>
      </c>
      <c r="B9" s="8" t="s">
        <v>222</v>
      </c>
      <c r="C9" s="8" t="s">
        <v>64</v>
      </c>
      <c r="D9" s="8">
        <v>8</v>
      </c>
      <c r="E9" s="8" t="s">
        <v>73</v>
      </c>
      <c r="F9" s="8" t="s">
        <v>236</v>
      </c>
      <c r="G9" s="8">
        <v>1</v>
      </c>
      <c r="H9" s="8" t="s">
        <v>74</v>
      </c>
      <c r="I9" s="5" t="str">
        <f t="shared" si="0"/>
        <v>Addition and Subtraction : concepts of addition and subtraction</v>
      </c>
      <c r="J9" s="5" t="str">
        <f t="shared" si="1"/>
        <v>P108</v>
      </c>
    </row>
    <row r="10" spans="1:10" ht="14.4" x14ac:dyDescent="0.3">
      <c r="A10" s="8" t="s">
        <v>215</v>
      </c>
      <c r="B10" s="8" t="s">
        <v>222</v>
      </c>
      <c r="C10" s="8" t="s">
        <v>64</v>
      </c>
      <c r="D10" s="8">
        <v>9</v>
      </c>
      <c r="E10" s="8" t="s">
        <v>73</v>
      </c>
      <c r="F10" s="8" t="s">
        <v>236</v>
      </c>
      <c r="G10" s="8">
        <v>2</v>
      </c>
      <c r="H10" s="8" t="s">
        <v>75</v>
      </c>
      <c r="I10" s="5" t="str">
        <f t="shared" si="0"/>
        <v xml:space="preserve">Addition and Subtraction : use of +, – and = </v>
      </c>
      <c r="J10" s="5" t="str">
        <f t="shared" si="1"/>
        <v>P109</v>
      </c>
    </row>
    <row r="11" spans="1:10" ht="14.4" x14ac:dyDescent="0.3">
      <c r="A11" s="8" t="s">
        <v>215</v>
      </c>
      <c r="B11" s="8" t="s">
        <v>222</v>
      </c>
      <c r="C11" s="8" t="s">
        <v>64</v>
      </c>
      <c r="D11" s="8">
        <v>10</v>
      </c>
      <c r="E11" s="8" t="s">
        <v>73</v>
      </c>
      <c r="F11" s="8" t="s">
        <v>236</v>
      </c>
      <c r="G11" s="8">
        <v>3</v>
      </c>
      <c r="H11" s="8" t="s">
        <v>76</v>
      </c>
      <c r="I11" s="5" t="str">
        <f t="shared" si="0"/>
        <v>Addition and Subtraction : relationship between addition and subtraction</v>
      </c>
      <c r="J11" s="5" t="str">
        <f t="shared" si="1"/>
        <v>P110</v>
      </c>
    </row>
    <row r="12" spans="1:10" ht="14.4" x14ac:dyDescent="0.3">
      <c r="A12" s="8" t="s">
        <v>215</v>
      </c>
      <c r="B12" s="8" t="s">
        <v>222</v>
      </c>
      <c r="C12" s="8" t="s">
        <v>64</v>
      </c>
      <c r="D12" s="8">
        <v>11</v>
      </c>
      <c r="E12" s="8" t="s">
        <v>73</v>
      </c>
      <c r="F12" s="8" t="s">
        <v>236</v>
      </c>
      <c r="G12" s="8">
        <v>4</v>
      </c>
      <c r="H12" s="8" t="s">
        <v>77</v>
      </c>
      <c r="I12" s="5" t="str">
        <f t="shared" si="0"/>
        <v>Addition and Subtraction : adding more than two 1-digit numbers</v>
      </c>
      <c r="J12" s="5" t="str">
        <f t="shared" si="1"/>
        <v>P111</v>
      </c>
    </row>
    <row r="13" spans="1:10" ht="14.4" x14ac:dyDescent="0.3">
      <c r="A13" s="8" t="s">
        <v>215</v>
      </c>
      <c r="B13" s="8" t="s">
        <v>222</v>
      </c>
      <c r="C13" s="8" t="s">
        <v>64</v>
      </c>
      <c r="D13" s="8">
        <v>12</v>
      </c>
      <c r="E13" s="8" t="s">
        <v>73</v>
      </c>
      <c r="F13" s="8" t="s">
        <v>236</v>
      </c>
      <c r="G13" s="8">
        <v>5</v>
      </c>
      <c r="H13" s="8" t="s">
        <v>78</v>
      </c>
      <c r="I13" s="5" t="str">
        <f t="shared" si="0"/>
        <v>Addition and Subtraction : adding and subtracting within 100</v>
      </c>
      <c r="J13" s="5" t="str">
        <f t="shared" si="1"/>
        <v>P112</v>
      </c>
    </row>
    <row r="14" spans="1:10" ht="14.4" x14ac:dyDescent="0.3">
      <c r="A14" s="8" t="s">
        <v>215</v>
      </c>
      <c r="B14" s="8" t="s">
        <v>222</v>
      </c>
      <c r="C14" s="8" t="s">
        <v>64</v>
      </c>
      <c r="D14" s="8">
        <v>13</v>
      </c>
      <c r="E14" s="8" t="s">
        <v>73</v>
      </c>
      <c r="F14" s="8" t="s">
        <v>236</v>
      </c>
      <c r="G14" s="8">
        <v>6</v>
      </c>
      <c r="H14" s="8" t="s">
        <v>79</v>
      </c>
      <c r="I14" s="5" t="str">
        <f t="shared" si="0"/>
        <v xml:space="preserve">Addition and Subtraction : adding and subtracting using algorithms </v>
      </c>
      <c r="J14" s="5" t="str">
        <f t="shared" si="1"/>
        <v>P113</v>
      </c>
    </row>
    <row r="15" spans="1:10" ht="14.4" x14ac:dyDescent="0.3">
      <c r="A15" s="8" t="s">
        <v>215</v>
      </c>
      <c r="B15" s="8" t="s">
        <v>222</v>
      </c>
      <c r="C15" s="8" t="s">
        <v>64</v>
      </c>
      <c r="D15" s="8">
        <v>14</v>
      </c>
      <c r="E15" s="8" t="s">
        <v>73</v>
      </c>
      <c r="F15" s="8" t="s">
        <v>236</v>
      </c>
      <c r="G15" s="8">
        <v>7</v>
      </c>
      <c r="H15" s="8" t="s">
        <v>80</v>
      </c>
      <c r="I15" s="5" t="str">
        <f t="shared" si="0"/>
        <v>Addition and Subtraction : mental calculation involving addition and subtraction within 20, of a 2-digit number and ones without renaming, of a 2-digit number and tens</v>
      </c>
      <c r="J15" s="5" t="str">
        <f t="shared" si="1"/>
        <v>P114</v>
      </c>
    </row>
    <row r="16" spans="1:10" ht="14.4" x14ac:dyDescent="0.3">
      <c r="A16" s="8" t="s">
        <v>215</v>
      </c>
      <c r="B16" s="8" t="s">
        <v>222</v>
      </c>
      <c r="C16" s="8" t="s">
        <v>64</v>
      </c>
      <c r="D16" s="8">
        <v>15</v>
      </c>
      <c r="E16" s="8" t="s">
        <v>81</v>
      </c>
      <c r="F16" s="8" t="s">
        <v>237</v>
      </c>
      <c r="G16" s="8">
        <v>1</v>
      </c>
      <c r="H16" s="8" t="s">
        <v>82</v>
      </c>
      <c r="I16" s="5" t="str">
        <f t="shared" si="0"/>
        <v>Multiplication and Division : concepts of multiplication and division</v>
      </c>
      <c r="J16" s="5" t="str">
        <f t="shared" si="1"/>
        <v>P115</v>
      </c>
    </row>
    <row r="17" spans="1:10" ht="14.4" x14ac:dyDescent="0.3">
      <c r="A17" s="8" t="s">
        <v>215</v>
      </c>
      <c r="B17" s="8" t="s">
        <v>222</v>
      </c>
      <c r="C17" s="8" t="s">
        <v>64</v>
      </c>
      <c r="D17" s="8">
        <v>16</v>
      </c>
      <c r="E17" s="8" t="s">
        <v>81</v>
      </c>
      <c r="F17" s="8" t="s">
        <v>237</v>
      </c>
      <c r="G17" s="8">
        <v>2</v>
      </c>
      <c r="H17" s="8" t="s">
        <v>83</v>
      </c>
      <c r="I17" s="5" t="str">
        <f t="shared" si="0"/>
        <v>Multiplication and Division : use of x</v>
      </c>
      <c r="J17" s="5" t="str">
        <f t="shared" si="1"/>
        <v>P116</v>
      </c>
    </row>
    <row r="18" spans="1:10" ht="14.4" x14ac:dyDescent="0.3">
      <c r="A18" s="8" t="s">
        <v>215</v>
      </c>
      <c r="B18" s="8" t="s">
        <v>222</v>
      </c>
      <c r="C18" s="8" t="s">
        <v>64</v>
      </c>
      <c r="D18" s="8">
        <v>17</v>
      </c>
      <c r="E18" s="8" t="s">
        <v>81</v>
      </c>
      <c r="F18" s="8" t="s">
        <v>237</v>
      </c>
      <c r="G18" s="8">
        <v>3</v>
      </c>
      <c r="H18" s="8" t="s">
        <v>84</v>
      </c>
      <c r="I18" s="5" t="str">
        <f t="shared" si="0"/>
        <v>Multiplication and Division : multiplying within 40</v>
      </c>
      <c r="J18" s="5" t="str">
        <f t="shared" si="1"/>
        <v>P117</v>
      </c>
    </row>
    <row r="19" spans="1:10" ht="14.4" x14ac:dyDescent="0.3">
      <c r="A19" s="8" t="s">
        <v>215</v>
      </c>
      <c r="B19" s="8" t="s">
        <v>222</v>
      </c>
      <c r="C19" s="8" t="s">
        <v>64</v>
      </c>
      <c r="D19" s="8">
        <v>18</v>
      </c>
      <c r="E19" s="8" t="s">
        <v>81</v>
      </c>
      <c r="F19" s="8" t="s">
        <v>237</v>
      </c>
      <c r="G19" s="8">
        <v>4</v>
      </c>
      <c r="H19" s="8" t="s">
        <v>85</v>
      </c>
      <c r="I19" s="5" t="str">
        <f t="shared" si="0"/>
        <v>Multiplication and Division : dividing within 20</v>
      </c>
      <c r="J19" s="5" t="str">
        <f t="shared" si="1"/>
        <v>P118</v>
      </c>
    </row>
    <row r="20" spans="1:10" ht="14.4" x14ac:dyDescent="0.3">
      <c r="A20" s="8" t="s">
        <v>215</v>
      </c>
      <c r="B20" s="8" t="s">
        <v>222</v>
      </c>
      <c r="C20" s="8" t="s">
        <v>86</v>
      </c>
      <c r="D20" s="8">
        <v>19</v>
      </c>
      <c r="E20" s="8" t="s">
        <v>87</v>
      </c>
      <c r="F20" s="8" t="s">
        <v>87</v>
      </c>
      <c r="G20" s="8">
        <v>1</v>
      </c>
      <c r="H20" s="8" t="s">
        <v>88</v>
      </c>
      <c r="I20" s="5" t="str">
        <f t="shared" si="0"/>
        <v>Money : counting amount of money, in cents up to $1, in dollars up to $100</v>
      </c>
      <c r="J20" s="5" t="str">
        <f t="shared" si="1"/>
        <v>P119</v>
      </c>
    </row>
    <row r="21" spans="1:10" ht="14.4" x14ac:dyDescent="0.3">
      <c r="A21" s="8" t="s">
        <v>216</v>
      </c>
      <c r="B21" s="8" t="s">
        <v>223</v>
      </c>
      <c r="C21" s="8" t="s">
        <v>64</v>
      </c>
      <c r="D21" s="8">
        <v>1</v>
      </c>
      <c r="E21" s="8" t="s">
        <v>89</v>
      </c>
      <c r="F21" s="8" t="s">
        <v>235</v>
      </c>
      <c r="G21" s="8">
        <v>1</v>
      </c>
      <c r="H21" s="8" t="s">
        <v>90</v>
      </c>
      <c r="I21" s="5" t="str">
        <f t="shared" si="0"/>
        <v>Numbers up to 1000 : counting in tens/hundreds</v>
      </c>
      <c r="J21" s="5" t="str">
        <f t="shared" si="1"/>
        <v>P201</v>
      </c>
    </row>
    <row r="22" spans="1:10" ht="14.4" x14ac:dyDescent="0.3">
      <c r="A22" s="8" t="s">
        <v>216</v>
      </c>
      <c r="B22" s="8" t="s">
        <v>223</v>
      </c>
      <c r="C22" s="8" t="s">
        <v>64</v>
      </c>
      <c r="D22" s="8">
        <v>2</v>
      </c>
      <c r="E22" s="8" t="s">
        <v>89</v>
      </c>
      <c r="F22" s="8" t="s">
        <v>235</v>
      </c>
      <c r="G22" s="8">
        <v>2</v>
      </c>
      <c r="H22" s="8" t="s">
        <v>91</v>
      </c>
      <c r="I22" s="5" t="str">
        <f t="shared" si="0"/>
        <v>Numbers up to 1000 : number notation, representations and place values (hundreds, tens, ones)</v>
      </c>
      <c r="J22" s="5" t="str">
        <f t="shared" si="1"/>
        <v>P202</v>
      </c>
    </row>
    <row r="23" spans="1:10" ht="14.4" x14ac:dyDescent="0.3">
      <c r="A23" s="8" t="s">
        <v>216</v>
      </c>
      <c r="B23" s="8" t="s">
        <v>223</v>
      </c>
      <c r="C23" s="8" t="s">
        <v>64</v>
      </c>
      <c r="D23" s="8">
        <v>3</v>
      </c>
      <c r="E23" s="8" t="s">
        <v>89</v>
      </c>
      <c r="F23" s="8" t="s">
        <v>235</v>
      </c>
      <c r="G23" s="8">
        <v>3</v>
      </c>
      <c r="H23" s="8" t="s">
        <v>68</v>
      </c>
      <c r="I23" s="5" t="str">
        <f t="shared" si="0"/>
        <v>Numbers up to 1000 : reading and writing numbers in numerals and in words</v>
      </c>
      <c r="J23" s="5" t="str">
        <f t="shared" si="1"/>
        <v>P203</v>
      </c>
    </row>
    <row r="24" spans="1:10" ht="14.4" x14ac:dyDescent="0.3">
      <c r="A24" s="8" t="s">
        <v>216</v>
      </c>
      <c r="B24" s="8" t="s">
        <v>223</v>
      </c>
      <c r="C24" s="8" t="s">
        <v>64</v>
      </c>
      <c r="D24" s="8">
        <v>4</v>
      </c>
      <c r="E24" s="8" t="s">
        <v>89</v>
      </c>
      <c r="F24" s="8" t="s">
        <v>235</v>
      </c>
      <c r="G24" s="8">
        <v>4</v>
      </c>
      <c r="H24" s="8" t="s">
        <v>70</v>
      </c>
      <c r="I24" s="5" t="str">
        <f t="shared" si="0"/>
        <v>Numbers up to 1000 : comparing and ordering numbers</v>
      </c>
      <c r="J24" s="5" t="str">
        <f t="shared" si="1"/>
        <v>P204</v>
      </c>
    </row>
    <row r="25" spans="1:10" ht="14.4" x14ac:dyDescent="0.3">
      <c r="A25" s="8" t="s">
        <v>216</v>
      </c>
      <c r="B25" s="8" t="s">
        <v>223</v>
      </c>
      <c r="C25" s="8" t="s">
        <v>64</v>
      </c>
      <c r="D25" s="8">
        <v>5</v>
      </c>
      <c r="E25" s="8" t="s">
        <v>89</v>
      </c>
      <c r="F25" s="8" t="s">
        <v>235</v>
      </c>
      <c r="G25" s="8">
        <v>5</v>
      </c>
      <c r="H25" s="8" t="s">
        <v>71</v>
      </c>
      <c r="I25" s="5" t="str">
        <f t="shared" si="0"/>
        <v>Numbers up to 1000 : patterns in number sequences</v>
      </c>
      <c r="J25" s="5" t="str">
        <f t="shared" si="1"/>
        <v>P205</v>
      </c>
    </row>
    <row r="26" spans="1:10" ht="14.4" x14ac:dyDescent="0.3">
      <c r="A26" s="8" t="s">
        <v>216</v>
      </c>
      <c r="B26" s="8" t="s">
        <v>223</v>
      </c>
      <c r="C26" s="8" t="s">
        <v>64</v>
      </c>
      <c r="D26" s="8">
        <v>6</v>
      </c>
      <c r="E26" s="8" t="s">
        <v>89</v>
      </c>
      <c r="F26" s="8" t="s">
        <v>235</v>
      </c>
      <c r="G26" s="8">
        <v>6</v>
      </c>
      <c r="H26" s="8" t="s">
        <v>92</v>
      </c>
      <c r="I26" s="5" t="str">
        <f t="shared" si="0"/>
        <v>Numbers up to 1000 : odd and even numbers</v>
      </c>
      <c r="J26" s="5" t="str">
        <f t="shared" si="1"/>
        <v>P206</v>
      </c>
    </row>
    <row r="27" spans="1:10" ht="14.4" x14ac:dyDescent="0.3">
      <c r="A27" s="8" t="s">
        <v>216</v>
      </c>
      <c r="B27" s="8" t="s">
        <v>223</v>
      </c>
      <c r="C27" s="8" t="s">
        <v>64</v>
      </c>
      <c r="D27" s="8">
        <v>7</v>
      </c>
      <c r="E27" s="8" t="s">
        <v>73</v>
      </c>
      <c r="F27" s="8" t="s">
        <v>236</v>
      </c>
      <c r="G27" s="8">
        <v>1</v>
      </c>
      <c r="H27" s="8" t="s">
        <v>93</v>
      </c>
      <c r="I27" s="5" t="str">
        <f t="shared" si="0"/>
        <v>Addition and Subtraction : addition and subtraction algorithms (up to 3 digits)</v>
      </c>
      <c r="J27" s="5" t="str">
        <f t="shared" si="1"/>
        <v>P207</v>
      </c>
    </row>
    <row r="28" spans="1:10" ht="14.4" x14ac:dyDescent="0.3">
      <c r="A28" s="8" t="s">
        <v>216</v>
      </c>
      <c r="B28" s="8" t="s">
        <v>223</v>
      </c>
      <c r="C28" s="8" t="s">
        <v>64</v>
      </c>
      <c r="D28" s="8">
        <v>8</v>
      </c>
      <c r="E28" s="8" t="s">
        <v>73</v>
      </c>
      <c r="F28" s="8" t="s">
        <v>236</v>
      </c>
      <c r="G28" s="8">
        <v>2</v>
      </c>
      <c r="H28" s="8" t="s">
        <v>94</v>
      </c>
      <c r="I28" s="5" t="str">
        <f t="shared" si="0"/>
        <v>Addition and Subtraction : mental calculation involving addition and subtraction of a 3-digit number and ones/tens/hundreds</v>
      </c>
      <c r="J28" s="5" t="str">
        <f t="shared" si="1"/>
        <v>P208</v>
      </c>
    </row>
    <row r="29" spans="1:10" ht="14.4" x14ac:dyDescent="0.3">
      <c r="A29" s="8" t="s">
        <v>216</v>
      </c>
      <c r="B29" s="8" t="s">
        <v>223</v>
      </c>
      <c r="C29" s="8" t="s">
        <v>64</v>
      </c>
      <c r="D29" s="8">
        <v>9</v>
      </c>
      <c r="E29" s="8" t="s">
        <v>81</v>
      </c>
      <c r="F29" s="8" t="s">
        <v>237</v>
      </c>
      <c r="G29" s="8">
        <v>1</v>
      </c>
      <c r="H29" s="8" t="s">
        <v>95</v>
      </c>
      <c r="I29" s="5" t="str">
        <f t="shared" si="0"/>
        <v>Multiplication and Division : multiplication tables of 2, 3, 4, 5 and 10</v>
      </c>
      <c r="J29" s="5" t="str">
        <f t="shared" si="1"/>
        <v>P209</v>
      </c>
    </row>
    <row r="30" spans="1:10" ht="14.4" x14ac:dyDescent="0.3">
      <c r="A30" s="8" t="s">
        <v>216</v>
      </c>
      <c r="B30" s="8" t="s">
        <v>223</v>
      </c>
      <c r="C30" s="8" t="s">
        <v>64</v>
      </c>
      <c r="D30" s="8">
        <v>10</v>
      </c>
      <c r="E30" s="8" t="s">
        <v>81</v>
      </c>
      <c r="F30" s="8" t="s">
        <v>237</v>
      </c>
      <c r="G30" s="8">
        <v>2</v>
      </c>
      <c r="H30" s="8" t="s">
        <v>96</v>
      </c>
      <c r="I30" s="5" t="str">
        <f t="shared" si="0"/>
        <v>Multiplication and Division : use of ÷</v>
      </c>
      <c r="J30" s="5" t="str">
        <f t="shared" si="1"/>
        <v>P210</v>
      </c>
    </row>
    <row r="31" spans="1:10" ht="14.4" x14ac:dyDescent="0.3">
      <c r="A31" s="8" t="s">
        <v>216</v>
      </c>
      <c r="B31" s="8" t="s">
        <v>223</v>
      </c>
      <c r="C31" s="8" t="s">
        <v>64</v>
      </c>
      <c r="D31" s="8">
        <v>11</v>
      </c>
      <c r="E31" s="8" t="s">
        <v>81</v>
      </c>
      <c r="F31" s="8" t="s">
        <v>237</v>
      </c>
      <c r="G31" s="8">
        <v>3</v>
      </c>
      <c r="H31" s="8" t="s">
        <v>97</v>
      </c>
      <c r="I31" s="5" t="str">
        <f t="shared" si="0"/>
        <v>Multiplication and Division : relationship between multiplication and division</v>
      </c>
      <c r="J31" s="5" t="str">
        <f t="shared" si="1"/>
        <v>P211</v>
      </c>
    </row>
    <row r="32" spans="1:10" ht="14.4" x14ac:dyDescent="0.3">
      <c r="A32" s="8" t="s">
        <v>216</v>
      </c>
      <c r="B32" s="8" t="s">
        <v>223</v>
      </c>
      <c r="C32" s="8" t="s">
        <v>64</v>
      </c>
      <c r="D32" s="8">
        <v>12</v>
      </c>
      <c r="E32" s="8" t="s">
        <v>81</v>
      </c>
      <c r="F32" s="8" t="s">
        <v>237</v>
      </c>
      <c r="G32" s="8">
        <v>4</v>
      </c>
      <c r="H32" s="8" t="s">
        <v>98</v>
      </c>
      <c r="I32" s="5" t="str">
        <f t="shared" si="0"/>
        <v>Multiplication and Division : multiplying and dividing within the multiplication tables</v>
      </c>
      <c r="J32" s="5" t="str">
        <f t="shared" si="1"/>
        <v>P212</v>
      </c>
    </row>
    <row r="33" spans="1:10" ht="14.4" x14ac:dyDescent="0.3">
      <c r="A33" s="8" t="s">
        <v>216</v>
      </c>
      <c r="B33" s="8" t="s">
        <v>223</v>
      </c>
      <c r="C33" s="8" t="s">
        <v>64</v>
      </c>
      <c r="D33" s="8">
        <v>13</v>
      </c>
      <c r="E33" s="8" t="s">
        <v>81</v>
      </c>
      <c r="F33" s="8" t="s">
        <v>237</v>
      </c>
      <c r="G33" s="8">
        <v>5</v>
      </c>
      <c r="H33" s="8" t="s">
        <v>99</v>
      </c>
      <c r="I33" s="5" t="str">
        <f t="shared" si="0"/>
        <v>Multiplication and Division : mental calculation involving multiplication and division within multiplication tables of 2, 3, 4, 5 and 10</v>
      </c>
      <c r="J33" s="5" t="str">
        <f t="shared" si="1"/>
        <v>P213</v>
      </c>
    </row>
    <row r="34" spans="1:10" ht="14.4" x14ac:dyDescent="0.3">
      <c r="A34" s="8" t="s">
        <v>216</v>
      </c>
      <c r="B34" s="8" t="s">
        <v>223</v>
      </c>
      <c r="C34" s="8" t="s">
        <v>100</v>
      </c>
      <c r="D34" s="8">
        <v>14</v>
      </c>
      <c r="E34" s="8" t="s">
        <v>101</v>
      </c>
      <c r="F34" s="8" t="s">
        <v>247</v>
      </c>
      <c r="G34" s="8">
        <v>1</v>
      </c>
      <c r="H34" s="8" t="s">
        <v>102</v>
      </c>
      <c r="I34" s="5" t="str">
        <f t="shared" ref="I34:I65" si="2">E34 &amp; " : " &amp; H34</f>
        <v>Fraction of a Whole : fraction as part of a whole</v>
      </c>
      <c r="J34" s="5" t="str">
        <f t="shared" ref="J34:J66" si="3" xml:space="preserve"> B34 &amp; TEXT(D34, "00")</f>
        <v>P214</v>
      </c>
    </row>
    <row r="35" spans="1:10" ht="14.4" x14ac:dyDescent="0.3">
      <c r="A35" s="8" t="s">
        <v>216</v>
      </c>
      <c r="B35" s="8" t="s">
        <v>223</v>
      </c>
      <c r="C35" s="8" t="s">
        <v>100</v>
      </c>
      <c r="D35" s="8">
        <v>15</v>
      </c>
      <c r="E35" s="8" t="s">
        <v>101</v>
      </c>
      <c r="F35" s="8" t="s">
        <v>247</v>
      </c>
      <c r="G35" s="8">
        <v>2</v>
      </c>
      <c r="H35" s="8" t="s">
        <v>103</v>
      </c>
      <c r="I35" s="5" t="str">
        <f t="shared" si="2"/>
        <v>Fraction of a Whole : notation and representations of fractions</v>
      </c>
      <c r="J35" s="5" t="str">
        <f t="shared" si="3"/>
        <v>P215</v>
      </c>
    </row>
    <row r="36" spans="1:10" ht="14.4" x14ac:dyDescent="0.3">
      <c r="A36" s="8" t="s">
        <v>216</v>
      </c>
      <c r="B36" s="8" t="s">
        <v>223</v>
      </c>
      <c r="C36" s="8" t="s">
        <v>100</v>
      </c>
      <c r="D36" s="8">
        <v>16</v>
      </c>
      <c r="E36" s="8" t="s">
        <v>101</v>
      </c>
      <c r="F36" s="8" t="s">
        <v>247</v>
      </c>
      <c r="G36" s="8">
        <v>3</v>
      </c>
      <c r="H36" s="8" t="s">
        <v>104</v>
      </c>
      <c r="I36" s="5" t="str">
        <f t="shared" si="2"/>
        <v>Fraction of a Whole : comparing and ordering unit or like fractions with denominators of given fractions not exceeding 12</v>
      </c>
      <c r="J36" s="5" t="str">
        <f t="shared" si="3"/>
        <v>P216</v>
      </c>
    </row>
    <row r="37" spans="1:10" ht="14.4" x14ac:dyDescent="0.3">
      <c r="A37" s="8" t="s">
        <v>216</v>
      </c>
      <c r="B37" s="8" t="s">
        <v>223</v>
      </c>
      <c r="C37" s="8" t="s">
        <v>100</v>
      </c>
      <c r="D37" s="8">
        <v>17</v>
      </c>
      <c r="E37" s="8" t="s">
        <v>73</v>
      </c>
      <c r="F37" s="8" t="s">
        <v>239</v>
      </c>
      <c r="G37" s="8">
        <v>1</v>
      </c>
      <c r="H37" s="8" t="s">
        <v>105</v>
      </c>
      <c r="I37" s="5" t="str">
        <f t="shared" si="2"/>
        <v>Addition and Subtraction : adding and subtracting like fractions within one whole with denominators of given fractions not exceeding 12</v>
      </c>
      <c r="J37" s="5" t="str">
        <f t="shared" si="3"/>
        <v>P217</v>
      </c>
    </row>
    <row r="38" spans="1:10" ht="14.4" x14ac:dyDescent="0.3">
      <c r="A38" s="8" t="s">
        <v>216</v>
      </c>
      <c r="B38" s="8" t="s">
        <v>223</v>
      </c>
      <c r="C38" s="8" t="s">
        <v>86</v>
      </c>
      <c r="D38" s="8">
        <v>18</v>
      </c>
      <c r="E38" s="8" t="s">
        <v>87</v>
      </c>
      <c r="F38" s="8" t="s">
        <v>87</v>
      </c>
      <c r="G38" s="8">
        <v>1</v>
      </c>
      <c r="H38" s="8" t="s">
        <v>106</v>
      </c>
      <c r="I38" s="5" t="str">
        <f t="shared" si="2"/>
        <v>Money : counting amount of money in dollars and cents</v>
      </c>
      <c r="J38" s="5" t="str">
        <f t="shared" si="3"/>
        <v>P218</v>
      </c>
    </row>
    <row r="39" spans="1:10" ht="14.4" x14ac:dyDescent="0.3">
      <c r="A39" s="8" t="s">
        <v>216</v>
      </c>
      <c r="B39" s="8" t="s">
        <v>223</v>
      </c>
      <c r="C39" s="8" t="s">
        <v>86</v>
      </c>
      <c r="D39" s="8">
        <v>19</v>
      </c>
      <c r="E39" s="8" t="s">
        <v>87</v>
      </c>
      <c r="F39" s="8" t="s">
        <v>87</v>
      </c>
      <c r="G39" s="8">
        <v>2</v>
      </c>
      <c r="H39" s="8" t="s">
        <v>107</v>
      </c>
      <c r="I39" s="5" t="str">
        <f t="shared" si="2"/>
        <v>Money : reading and writing money in decimal notation</v>
      </c>
      <c r="J39" s="5" t="str">
        <f t="shared" si="3"/>
        <v>P219</v>
      </c>
    </row>
    <row r="40" spans="1:10" ht="14.4" x14ac:dyDescent="0.3">
      <c r="A40" s="8" t="s">
        <v>216</v>
      </c>
      <c r="B40" s="8" t="s">
        <v>223</v>
      </c>
      <c r="C40" s="8" t="s">
        <v>86</v>
      </c>
      <c r="D40" s="8">
        <v>20</v>
      </c>
      <c r="E40" s="8" t="s">
        <v>87</v>
      </c>
      <c r="F40" s="8" t="s">
        <v>87</v>
      </c>
      <c r="G40" s="8">
        <v>3</v>
      </c>
      <c r="H40" s="8" t="s">
        <v>108</v>
      </c>
      <c r="I40" s="5" t="str">
        <f t="shared" si="2"/>
        <v>Money : comparing two or three amounts of money</v>
      </c>
      <c r="J40" s="5" t="str">
        <f t="shared" si="3"/>
        <v>P220</v>
      </c>
    </row>
    <row r="41" spans="1:10" ht="14.4" x14ac:dyDescent="0.3">
      <c r="A41" s="8" t="s">
        <v>216</v>
      </c>
      <c r="B41" s="8" t="s">
        <v>223</v>
      </c>
      <c r="C41" s="8" t="s">
        <v>86</v>
      </c>
      <c r="D41" s="8">
        <v>21</v>
      </c>
      <c r="E41" s="8" t="s">
        <v>87</v>
      </c>
      <c r="F41" s="8" t="s">
        <v>87</v>
      </c>
      <c r="G41" s="8">
        <v>4</v>
      </c>
      <c r="H41" s="8" t="s">
        <v>109</v>
      </c>
      <c r="I41" s="5" t="str">
        <f t="shared" si="2"/>
        <v>Money : converting an amount of money in decimal notation to cents only, and vice versa</v>
      </c>
      <c r="J41" s="5" t="str">
        <f t="shared" si="3"/>
        <v>P221</v>
      </c>
    </row>
    <row r="42" spans="1:10" ht="14.4" x14ac:dyDescent="0.3">
      <c r="A42" s="8" t="s">
        <v>217</v>
      </c>
      <c r="B42" s="8" t="s">
        <v>224</v>
      </c>
      <c r="C42" s="8" t="s">
        <v>64</v>
      </c>
      <c r="D42" s="8">
        <v>1</v>
      </c>
      <c r="E42" s="8" t="s">
        <v>110</v>
      </c>
      <c r="F42" s="8" t="s">
        <v>240</v>
      </c>
      <c r="G42" s="8">
        <v>1</v>
      </c>
      <c r="H42" s="8" t="s">
        <v>111</v>
      </c>
      <c r="I42" s="5" t="str">
        <f t="shared" si="2"/>
        <v>Numbers up to 10000 : counting in hundreds/thousands</v>
      </c>
      <c r="J42" s="5" t="str">
        <f t="shared" si="3"/>
        <v>P301</v>
      </c>
    </row>
    <row r="43" spans="1:10" ht="14.4" x14ac:dyDescent="0.3">
      <c r="A43" s="8" t="s">
        <v>217</v>
      </c>
      <c r="B43" s="8" t="s">
        <v>224</v>
      </c>
      <c r="C43" s="8" t="s">
        <v>64</v>
      </c>
      <c r="D43" s="8">
        <v>2</v>
      </c>
      <c r="E43" s="8" t="s">
        <v>110</v>
      </c>
      <c r="F43" s="8" t="s">
        <v>240</v>
      </c>
      <c r="G43" s="8">
        <v>2</v>
      </c>
      <c r="H43" s="8" t="s">
        <v>112</v>
      </c>
      <c r="I43" s="5" t="str">
        <f t="shared" si="2"/>
        <v>Numbers up to 10000 : number notation, representations and place values (thousands, hundreds, tens, ones)</v>
      </c>
      <c r="J43" s="5" t="str">
        <f t="shared" si="3"/>
        <v>P302</v>
      </c>
    </row>
    <row r="44" spans="1:10" ht="14.4" x14ac:dyDescent="0.3">
      <c r="A44" s="8" t="s">
        <v>217</v>
      </c>
      <c r="B44" s="8" t="s">
        <v>224</v>
      </c>
      <c r="C44" s="8" t="s">
        <v>64</v>
      </c>
      <c r="D44" s="8">
        <v>3</v>
      </c>
      <c r="E44" s="8" t="s">
        <v>110</v>
      </c>
      <c r="F44" s="8" t="s">
        <v>240</v>
      </c>
      <c r="G44" s="8">
        <v>3</v>
      </c>
      <c r="H44" s="8" t="s">
        <v>68</v>
      </c>
      <c r="I44" s="5" t="str">
        <f t="shared" si="2"/>
        <v>Numbers up to 10000 : reading and writing numbers in numerals and in words</v>
      </c>
      <c r="J44" s="5" t="str">
        <f t="shared" si="3"/>
        <v>P303</v>
      </c>
    </row>
    <row r="45" spans="1:10" ht="14.4" x14ac:dyDescent="0.3">
      <c r="A45" s="8" t="s">
        <v>217</v>
      </c>
      <c r="B45" s="8" t="s">
        <v>224</v>
      </c>
      <c r="C45" s="8" t="s">
        <v>64</v>
      </c>
      <c r="D45" s="8">
        <v>4</v>
      </c>
      <c r="E45" s="8" t="s">
        <v>110</v>
      </c>
      <c r="F45" s="8" t="s">
        <v>240</v>
      </c>
      <c r="G45" s="8">
        <v>4</v>
      </c>
      <c r="H45" s="8" t="s">
        <v>70</v>
      </c>
      <c r="I45" s="5" t="str">
        <f t="shared" si="2"/>
        <v>Numbers up to 10000 : comparing and ordering numbers</v>
      </c>
      <c r="J45" s="5" t="str">
        <f t="shared" si="3"/>
        <v>P304</v>
      </c>
    </row>
    <row r="46" spans="1:10" ht="14.4" x14ac:dyDescent="0.3">
      <c r="A46" s="8" t="s">
        <v>217</v>
      </c>
      <c r="B46" s="8" t="s">
        <v>224</v>
      </c>
      <c r="C46" s="8" t="s">
        <v>64</v>
      </c>
      <c r="D46" s="8">
        <v>5</v>
      </c>
      <c r="E46" s="8" t="s">
        <v>110</v>
      </c>
      <c r="F46" s="8" t="s">
        <v>240</v>
      </c>
      <c r="G46" s="8">
        <v>5</v>
      </c>
      <c r="H46" s="8" t="s">
        <v>71</v>
      </c>
      <c r="I46" s="5" t="str">
        <f t="shared" si="2"/>
        <v>Numbers up to 10000 : patterns in number sequences</v>
      </c>
      <c r="J46" s="5" t="str">
        <f t="shared" si="3"/>
        <v>P305</v>
      </c>
    </row>
    <row r="47" spans="1:10" ht="14.4" x14ac:dyDescent="0.3">
      <c r="A47" s="8" t="s">
        <v>217</v>
      </c>
      <c r="B47" s="8" t="s">
        <v>224</v>
      </c>
      <c r="C47" s="8" t="s">
        <v>64</v>
      </c>
      <c r="D47" s="8">
        <v>6</v>
      </c>
      <c r="E47" s="8" t="s">
        <v>73</v>
      </c>
      <c r="F47" s="8" t="s">
        <v>236</v>
      </c>
      <c r="G47" s="8">
        <v>1</v>
      </c>
      <c r="H47" s="8" t="s">
        <v>113</v>
      </c>
      <c r="I47" s="5" t="str">
        <f t="shared" si="2"/>
        <v>Addition and Subtraction : addition and subtraction algorithms (up to 4 digits)</v>
      </c>
      <c r="J47" s="5" t="str">
        <f t="shared" si="3"/>
        <v>P306</v>
      </c>
    </row>
    <row r="48" spans="1:10" ht="14.4" x14ac:dyDescent="0.3">
      <c r="A48" s="8" t="s">
        <v>217</v>
      </c>
      <c r="B48" s="8" t="s">
        <v>224</v>
      </c>
      <c r="C48" s="8" t="s">
        <v>64</v>
      </c>
      <c r="D48" s="8">
        <v>7</v>
      </c>
      <c r="E48" s="8" t="s">
        <v>73</v>
      </c>
      <c r="F48" s="8" t="s">
        <v>236</v>
      </c>
      <c r="G48" s="8">
        <v>2</v>
      </c>
      <c r="H48" s="8" t="s">
        <v>114</v>
      </c>
      <c r="I48" s="5" t="str">
        <f t="shared" si="2"/>
        <v>Addition and Subtraction : mental calculation involving addition and subtraction of two 2-digit numbers</v>
      </c>
      <c r="J48" s="5" t="str">
        <f t="shared" si="3"/>
        <v>P307</v>
      </c>
    </row>
    <row r="49" spans="1:10" ht="14.4" x14ac:dyDescent="0.3">
      <c r="A49" s="8" t="s">
        <v>217</v>
      </c>
      <c r="B49" s="8" t="s">
        <v>224</v>
      </c>
      <c r="C49" s="8" t="s">
        <v>64</v>
      </c>
      <c r="D49" s="8">
        <v>8</v>
      </c>
      <c r="E49" s="8" t="s">
        <v>81</v>
      </c>
      <c r="F49" s="8" t="s">
        <v>237</v>
      </c>
      <c r="G49" s="8">
        <v>1</v>
      </c>
      <c r="H49" s="8" t="s">
        <v>115</v>
      </c>
      <c r="I49" s="5" t="str">
        <f t="shared" si="2"/>
        <v>Multiplication and Division : multiplication tables of 6, 7, 8 and 9</v>
      </c>
      <c r="J49" s="5" t="str">
        <f t="shared" si="3"/>
        <v>P308</v>
      </c>
    </row>
    <row r="50" spans="1:10" ht="14.4" x14ac:dyDescent="0.3">
      <c r="A50" s="8" t="s">
        <v>217</v>
      </c>
      <c r="B50" s="8" t="s">
        <v>224</v>
      </c>
      <c r="C50" s="8" t="s">
        <v>64</v>
      </c>
      <c r="D50" s="8">
        <v>9</v>
      </c>
      <c r="E50" s="8" t="s">
        <v>81</v>
      </c>
      <c r="F50" s="8" t="s">
        <v>237</v>
      </c>
      <c r="G50" s="8">
        <v>2</v>
      </c>
      <c r="H50" s="8" t="s">
        <v>98</v>
      </c>
      <c r="I50" s="5" t="str">
        <f t="shared" si="2"/>
        <v>Multiplication and Division : multiplying and dividing within the multiplication tables</v>
      </c>
      <c r="J50" s="5" t="str">
        <f t="shared" si="3"/>
        <v>P309</v>
      </c>
    </row>
    <row r="51" spans="1:10" ht="14.4" x14ac:dyDescent="0.3">
      <c r="A51" s="8" t="s">
        <v>217</v>
      </c>
      <c r="B51" s="8" t="s">
        <v>224</v>
      </c>
      <c r="C51" s="8" t="s">
        <v>64</v>
      </c>
      <c r="D51" s="8">
        <v>10</v>
      </c>
      <c r="E51" s="8" t="s">
        <v>81</v>
      </c>
      <c r="F51" s="8" t="s">
        <v>237</v>
      </c>
      <c r="G51" s="8">
        <v>3</v>
      </c>
      <c r="H51" s="8" t="s">
        <v>116</v>
      </c>
      <c r="I51" s="5" t="str">
        <f t="shared" si="2"/>
        <v>Multiplication and Division : division with remainder</v>
      </c>
      <c r="J51" s="5" t="str">
        <f t="shared" si="3"/>
        <v>P310</v>
      </c>
    </row>
    <row r="52" spans="1:10" ht="14.4" x14ac:dyDescent="0.3">
      <c r="A52" s="8" t="s">
        <v>217</v>
      </c>
      <c r="B52" s="8" t="s">
        <v>224</v>
      </c>
      <c r="C52" s="8" t="s">
        <v>64</v>
      </c>
      <c r="D52" s="8">
        <v>11</v>
      </c>
      <c r="E52" s="8" t="s">
        <v>81</v>
      </c>
      <c r="F52" s="8" t="s">
        <v>237</v>
      </c>
      <c r="G52" s="8">
        <v>4</v>
      </c>
      <c r="H52" s="8" t="s">
        <v>117</v>
      </c>
      <c r="I52" s="5" t="str">
        <f t="shared" si="2"/>
        <v>Multiplication and Division : multiplication and division algorithms (up to 3 digits by 1 digit)</v>
      </c>
      <c r="J52" s="5" t="str">
        <f t="shared" si="3"/>
        <v>P311</v>
      </c>
    </row>
    <row r="53" spans="1:10" ht="14.4" x14ac:dyDescent="0.3">
      <c r="A53" s="8" t="s">
        <v>217</v>
      </c>
      <c r="B53" s="8" t="s">
        <v>224</v>
      </c>
      <c r="C53" s="8" t="s">
        <v>64</v>
      </c>
      <c r="D53" s="8">
        <v>12</v>
      </c>
      <c r="E53" s="8" t="s">
        <v>81</v>
      </c>
      <c r="F53" s="8" t="s">
        <v>237</v>
      </c>
      <c r="G53" s="8">
        <v>5</v>
      </c>
      <c r="H53" s="8" t="s">
        <v>118</v>
      </c>
      <c r="I53" s="5" t="str">
        <f t="shared" si="2"/>
        <v>Multiplication and Division : mental calculation involving multiplication and division within multiplication tables</v>
      </c>
      <c r="J53" s="5" t="str">
        <f t="shared" si="3"/>
        <v>P312</v>
      </c>
    </row>
    <row r="54" spans="1:10" ht="14.4" x14ac:dyDescent="0.3">
      <c r="A54" s="8" t="s">
        <v>217</v>
      </c>
      <c r="B54" s="8" t="s">
        <v>224</v>
      </c>
      <c r="C54" s="8" t="s">
        <v>100</v>
      </c>
      <c r="D54" s="8">
        <v>13</v>
      </c>
      <c r="E54" s="8" t="s">
        <v>119</v>
      </c>
      <c r="F54" s="8" t="s">
        <v>241</v>
      </c>
      <c r="G54" s="8">
        <v>1</v>
      </c>
      <c r="H54" s="8" t="s">
        <v>120</v>
      </c>
      <c r="I54" s="5" t="str">
        <f t="shared" si="2"/>
        <v>Equivalent fractions : equivalent fractions</v>
      </c>
      <c r="J54" s="5" t="str">
        <f t="shared" si="3"/>
        <v>P313</v>
      </c>
    </row>
    <row r="55" spans="1:10" ht="14.4" x14ac:dyDescent="0.3">
      <c r="A55" s="8" t="s">
        <v>217</v>
      </c>
      <c r="B55" s="8" t="s">
        <v>224</v>
      </c>
      <c r="C55" s="8" t="s">
        <v>100</v>
      </c>
      <c r="D55" s="8">
        <v>14</v>
      </c>
      <c r="E55" s="8" t="s">
        <v>119</v>
      </c>
      <c r="F55" s="8" t="s">
        <v>241</v>
      </c>
      <c r="G55" s="8">
        <v>2</v>
      </c>
      <c r="H55" s="8" t="s">
        <v>121</v>
      </c>
      <c r="I55" s="5" t="str">
        <f t="shared" si="2"/>
        <v>Equivalent fractions : expressing a fraction in its simplest form</v>
      </c>
      <c r="J55" s="5" t="str">
        <f t="shared" si="3"/>
        <v>P314</v>
      </c>
    </row>
    <row r="56" spans="1:10" ht="14.4" x14ac:dyDescent="0.3">
      <c r="A56" s="8" t="s">
        <v>217</v>
      </c>
      <c r="B56" s="8" t="s">
        <v>224</v>
      </c>
      <c r="C56" s="8" t="s">
        <v>100</v>
      </c>
      <c r="D56" s="8">
        <v>15</v>
      </c>
      <c r="E56" s="8" t="s">
        <v>119</v>
      </c>
      <c r="F56" s="8" t="s">
        <v>241</v>
      </c>
      <c r="G56" s="8">
        <v>3</v>
      </c>
      <c r="H56" s="8" t="s">
        <v>122</v>
      </c>
      <c r="I56" s="5" t="str">
        <f t="shared" si="2"/>
        <v>Equivalent fractions : comparing and ordering unlike fractions with denominators of given fractions not exceeding 12</v>
      </c>
      <c r="J56" s="5" t="str">
        <f t="shared" si="3"/>
        <v>P315</v>
      </c>
    </row>
    <row r="57" spans="1:10" ht="14.4" x14ac:dyDescent="0.3">
      <c r="A57" s="8" t="s">
        <v>217</v>
      </c>
      <c r="B57" s="8" t="s">
        <v>224</v>
      </c>
      <c r="C57" s="8" t="s">
        <v>100</v>
      </c>
      <c r="D57" s="8">
        <v>16</v>
      </c>
      <c r="E57" s="8" t="s">
        <v>119</v>
      </c>
      <c r="F57" s="8" t="s">
        <v>241</v>
      </c>
      <c r="G57" s="8">
        <v>4</v>
      </c>
      <c r="H57" s="8" t="s">
        <v>123</v>
      </c>
      <c r="I57" s="5" t="str">
        <f t="shared" si="2"/>
        <v>Equivalent fractions : writing the equivalent fraction of a fraction given the denominator or the numerator</v>
      </c>
      <c r="J57" s="5" t="str">
        <f t="shared" si="3"/>
        <v>P316</v>
      </c>
    </row>
    <row r="58" spans="1:10" ht="14.4" x14ac:dyDescent="0.3">
      <c r="A58" s="8" t="s">
        <v>217</v>
      </c>
      <c r="B58" s="8" t="s">
        <v>224</v>
      </c>
      <c r="C58" s="8" t="s">
        <v>100</v>
      </c>
      <c r="D58" s="8">
        <v>17</v>
      </c>
      <c r="E58" s="8" t="s">
        <v>73</v>
      </c>
      <c r="F58" s="8" t="s">
        <v>239</v>
      </c>
      <c r="G58" s="8">
        <v>1</v>
      </c>
      <c r="H58" s="8" t="s">
        <v>124</v>
      </c>
      <c r="I58" s="5" t="str">
        <f t="shared" si="2"/>
        <v>Addition and Subtraction : adding and subtracting two related fractions within one whole with denominators of given fractions not exceeding 12</v>
      </c>
      <c r="J58" s="5" t="str">
        <f t="shared" si="3"/>
        <v>P317</v>
      </c>
    </row>
    <row r="59" spans="1:10" ht="14.4" x14ac:dyDescent="0.3">
      <c r="A59" s="8" t="s">
        <v>217</v>
      </c>
      <c r="B59" s="8" t="s">
        <v>224</v>
      </c>
      <c r="C59" s="8" t="s">
        <v>86</v>
      </c>
      <c r="D59" s="8">
        <v>18</v>
      </c>
      <c r="E59" s="8" t="s">
        <v>87</v>
      </c>
      <c r="F59" s="8" t="s">
        <v>87</v>
      </c>
      <c r="G59" s="8">
        <v>1</v>
      </c>
      <c r="H59" s="8" t="s">
        <v>125</v>
      </c>
      <c r="I59" s="5" t="str">
        <f t="shared" si="2"/>
        <v>Money : adding and subtracting money in decimal notation</v>
      </c>
      <c r="J59" s="5" t="str">
        <f t="shared" si="3"/>
        <v>P318</v>
      </c>
    </row>
    <row r="60" spans="1:10" ht="14.4" x14ac:dyDescent="0.3">
      <c r="A60" s="8" t="s">
        <v>218</v>
      </c>
      <c r="B60" s="8" t="s">
        <v>225</v>
      </c>
      <c r="C60" s="8" t="s">
        <v>64</v>
      </c>
      <c r="D60" s="8">
        <v>1</v>
      </c>
      <c r="E60" s="8" t="s">
        <v>126</v>
      </c>
      <c r="F60" s="8" t="s">
        <v>242</v>
      </c>
      <c r="G60" s="8">
        <v>1</v>
      </c>
      <c r="H60" s="8" t="s">
        <v>127</v>
      </c>
      <c r="I60" s="5" t="str">
        <f t="shared" si="2"/>
        <v>Numbers up to 100000 : number notation, representations and place values (ten thousands, thousands, hundreds, tens, ones)</v>
      </c>
      <c r="J60" s="5" t="str">
        <f t="shared" si="3"/>
        <v>P401</v>
      </c>
    </row>
    <row r="61" spans="1:10" ht="14.4" x14ac:dyDescent="0.3">
      <c r="A61" s="8" t="s">
        <v>218</v>
      </c>
      <c r="B61" s="8" t="s">
        <v>225</v>
      </c>
      <c r="C61" s="8" t="s">
        <v>64</v>
      </c>
      <c r="D61" s="8">
        <v>2</v>
      </c>
      <c r="E61" s="8" t="s">
        <v>126</v>
      </c>
      <c r="F61" s="8" t="s">
        <v>242</v>
      </c>
      <c r="G61" s="8">
        <v>2</v>
      </c>
      <c r="H61" s="8" t="s">
        <v>68</v>
      </c>
      <c r="I61" s="5" t="str">
        <f t="shared" si="2"/>
        <v>Numbers up to 100000 : reading and writing numbers in numerals and in words</v>
      </c>
      <c r="J61" s="5" t="str">
        <f t="shared" si="3"/>
        <v>P402</v>
      </c>
    </row>
    <row r="62" spans="1:10" ht="14.4" x14ac:dyDescent="0.3">
      <c r="A62" s="8" t="s">
        <v>218</v>
      </c>
      <c r="B62" s="8" t="s">
        <v>225</v>
      </c>
      <c r="C62" s="8" t="s">
        <v>64</v>
      </c>
      <c r="D62" s="8">
        <v>3</v>
      </c>
      <c r="E62" s="8" t="s">
        <v>126</v>
      </c>
      <c r="F62" s="8" t="s">
        <v>242</v>
      </c>
      <c r="G62" s="8">
        <v>3</v>
      </c>
      <c r="H62" s="8" t="s">
        <v>70</v>
      </c>
      <c r="I62" s="5" t="str">
        <f t="shared" si="2"/>
        <v>Numbers up to 100000 : comparing and ordering numbers</v>
      </c>
      <c r="J62" s="5" t="str">
        <f t="shared" si="3"/>
        <v>P403</v>
      </c>
    </row>
    <row r="63" spans="1:10" ht="14.4" x14ac:dyDescent="0.3">
      <c r="A63" s="8" t="s">
        <v>218</v>
      </c>
      <c r="B63" s="8" t="s">
        <v>225</v>
      </c>
      <c r="C63" s="8" t="s">
        <v>64</v>
      </c>
      <c r="D63" s="8">
        <v>4</v>
      </c>
      <c r="E63" s="8" t="s">
        <v>126</v>
      </c>
      <c r="F63" s="8" t="s">
        <v>242</v>
      </c>
      <c r="G63" s="8">
        <v>4</v>
      </c>
      <c r="H63" s="8" t="s">
        <v>71</v>
      </c>
      <c r="I63" s="5" t="str">
        <f t="shared" si="2"/>
        <v>Numbers up to 100000 : patterns in number sequences</v>
      </c>
      <c r="J63" s="5" t="str">
        <f t="shared" si="3"/>
        <v>P404</v>
      </c>
    </row>
    <row r="64" spans="1:10" ht="14.4" x14ac:dyDescent="0.3">
      <c r="A64" s="8" t="s">
        <v>218</v>
      </c>
      <c r="B64" s="8" t="s">
        <v>225</v>
      </c>
      <c r="C64" s="8" t="s">
        <v>64</v>
      </c>
      <c r="D64" s="8">
        <v>5</v>
      </c>
      <c r="E64" s="8" t="s">
        <v>126</v>
      </c>
      <c r="F64" s="8" t="s">
        <v>242</v>
      </c>
      <c r="G64" s="8">
        <v>5</v>
      </c>
      <c r="H64" s="8" t="s">
        <v>128</v>
      </c>
      <c r="I64" s="5" t="str">
        <f t="shared" si="2"/>
        <v xml:space="preserve">Numbers up to 100000 : rounding numbers to the nearest 10, 100 or 1000 </v>
      </c>
      <c r="J64" s="5" t="str">
        <f t="shared" si="3"/>
        <v>P405</v>
      </c>
    </row>
    <row r="65" spans="1:10" ht="14.4" x14ac:dyDescent="0.3">
      <c r="A65" s="8" t="s">
        <v>218</v>
      </c>
      <c r="B65" s="8" t="s">
        <v>225</v>
      </c>
      <c r="C65" s="8" t="s">
        <v>64</v>
      </c>
      <c r="D65" s="8">
        <v>6</v>
      </c>
      <c r="E65" s="8" t="s">
        <v>126</v>
      </c>
      <c r="F65" s="8" t="s">
        <v>242</v>
      </c>
      <c r="G65" s="8">
        <v>6</v>
      </c>
      <c r="H65" s="8" t="s">
        <v>200</v>
      </c>
      <c r="I65" s="5" t="str">
        <f t="shared" si="2"/>
        <v xml:space="preserve">Numbers up to 100000 : use of ≈ </v>
      </c>
      <c r="J65" s="5" t="str">
        <f t="shared" si="3"/>
        <v>P406</v>
      </c>
    </row>
    <row r="66" spans="1:10" ht="14.4" x14ac:dyDescent="0.3">
      <c r="A66" s="8" t="s">
        <v>218</v>
      </c>
      <c r="B66" s="8" t="s">
        <v>225</v>
      </c>
      <c r="C66" s="8" t="s">
        <v>64</v>
      </c>
      <c r="D66" s="8">
        <v>7</v>
      </c>
      <c r="E66" s="8" t="s">
        <v>129</v>
      </c>
      <c r="F66" s="8" t="s">
        <v>243</v>
      </c>
      <c r="G66" s="8">
        <v>1</v>
      </c>
      <c r="H66" s="8" t="s">
        <v>130</v>
      </c>
      <c r="I66" s="5" t="str">
        <f t="shared" ref="I66:I97" si="4">E66 &amp; " : " &amp; H66</f>
        <v>Factors and Multiples : factors, multiples and their relationship</v>
      </c>
      <c r="J66" s="5" t="str">
        <f t="shared" si="3"/>
        <v>P407</v>
      </c>
    </row>
    <row r="67" spans="1:10" ht="14.4" x14ac:dyDescent="0.3">
      <c r="A67" s="8" t="s">
        <v>218</v>
      </c>
      <c r="B67" s="8" t="s">
        <v>225</v>
      </c>
      <c r="C67" s="8" t="s">
        <v>64</v>
      </c>
      <c r="D67" s="8">
        <v>8</v>
      </c>
      <c r="E67" s="8" t="s">
        <v>129</v>
      </c>
      <c r="F67" s="8" t="s">
        <v>243</v>
      </c>
      <c r="G67" s="8">
        <v>2</v>
      </c>
      <c r="H67" s="8" t="s">
        <v>131</v>
      </c>
      <c r="I67" s="5" t="str">
        <f t="shared" si="4"/>
        <v>Factors and Multiples : determining if a 1-digit number is a factor of a given number within 100</v>
      </c>
      <c r="J67" s="5" t="str">
        <f t="shared" ref="J67:J122" si="5" xml:space="preserve"> B67 &amp; TEXT(D67, "00")</f>
        <v>P408</v>
      </c>
    </row>
    <row r="68" spans="1:10" ht="14.4" x14ac:dyDescent="0.3">
      <c r="A68" s="8" t="s">
        <v>218</v>
      </c>
      <c r="B68" s="8" t="s">
        <v>225</v>
      </c>
      <c r="C68" s="8" t="s">
        <v>64</v>
      </c>
      <c r="D68" s="8">
        <v>9</v>
      </c>
      <c r="E68" s="8" t="s">
        <v>129</v>
      </c>
      <c r="F68" s="8" t="s">
        <v>243</v>
      </c>
      <c r="G68" s="8">
        <v>3</v>
      </c>
      <c r="H68" s="8" t="s">
        <v>132</v>
      </c>
      <c r="I68" s="5" t="str">
        <f t="shared" si="4"/>
        <v>Factors and Multiples : finding the common factors of two given numbers</v>
      </c>
      <c r="J68" s="5" t="str">
        <f t="shared" si="5"/>
        <v>P409</v>
      </c>
    </row>
    <row r="69" spans="1:10" ht="14.4" x14ac:dyDescent="0.3">
      <c r="A69" s="8" t="s">
        <v>218</v>
      </c>
      <c r="B69" s="8" t="s">
        <v>225</v>
      </c>
      <c r="C69" s="8" t="s">
        <v>64</v>
      </c>
      <c r="D69" s="8">
        <v>10</v>
      </c>
      <c r="E69" s="8" t="s">
        <v>129</v>
      </c>
      <c r="F69" s="8" t="s">
        <v>243</v>
      </c>
      <c r="G69" s="8">
        <v>4</v>
      </c>
      <c r="H69" s="8" t="s">
        <v>133</v>
      </c>
      <c r="I69" s="5" t="str">
        <f t="shared" si="4"/>
        <v>Factors and Multiples : determining if a number is a multiple of a given 1-digit number</v>
      </c>
      <c r="J69" s="5" t="str">
        <f t="shared" si="5"/>
        <v>P410</v>
      </c>
    </row>
    <row r="70" spans="1:10" ht="14.4" x14ac:dyDescent="0.3">
      <c r="A70" s="8" t="s">
        <v>218</v>
      </c>
      <c r="B70" s="8" t="s">
        <v>225</v>
      </c>
      <c r="C70" s="8" t="s">
        <v>64</v>
      </c>
      <c r="D70" s="8">
        <v>11</v>
      </c>
      <c r="E70" s="8" t="s">
        <v>129</v>
      </c>
      <c r="F70" s="8" t="s">
        <v>243</v>
      </c>
      <c r="G70" s="8">
        <v>5</v>
      </c>
      <c r="H70" s="8" t="s">
        <v>134</v>
      </c>
      <c r="I70" s="5" t="str">
        <f t="shared" si="4"/>
        <v>Factors and Multiples : finding the common multiples of two given 1-digit numbers</v>
      </c>
      <c r="J70" s="5" t="str">
        <f t="shared" si="5"/>
        <v>P411</v>
      </c>
    </row>
    <row r="71" spans="1:10" ht="14.4" x14ac:dyDescent="0.3">
      <c r="A71" s="8" t="s">
        <v>218</v>
      </c>
      <c r="B71" s="8" t="s">
        <v>225</v>
      </c>
      <c r="C71" s="8" t="s">
        <v>64</v>
      </c>
      <c r="D71" s="8">
        <v>12</v>
      </c>
      <c r="E71" s="8" t="s">
        <v>135</v>
      </c>
      <c r="F71" s="8" t="s">
        <v>244</v>
      </c>
      <c r="G71" s="8">
        <v>1</v>
      </c>
      <c r="H71" s="8" t="s">
        <v>136</v>
      </c>
      <c r="I71" s="5" t="str">
        <f t="shared" si="4"/>
        <v>Four Operations : multiplication algorithm up to 4 digits by 1 digit or up to 3 digits by 2 digits</v>
      </c>
      <c r="J71" s="5" t="str">
        <f t="shared" si="5"/>
        <v>P412</v>
      </c>
    </row>
    <row r="72" spans="1:10" ht="14.4" x14ac:dyDescent="0.3">
      <c r="A72" s="8" t="s">
        <v>218</v>
      </c>
      <c r="B72" s="8" t="s">
        <v>225</v>
      </c>
      <c r="C72" s="8" t="s">
        <v>64</v>
      </c>
      <c r="D72" s="8">
        <v>13</v>
      </c>
      <c r="E72" s="8" t="s">
        <v>135</v>
      </c>
      <c r="F72" s="8" t="s">
        <v>244</v>
      </c>
      <c r="G72" s="8">
        <v>2</v>
      </c>
      <c r="H72" s="8" t="s">
        <v>137</v>
      </c>
      <c r="I72" s="5" t="str">
        <f t="shared" si="4"/>
        <v>Four Operations : division algorithm (up to 4 digits by 1 digit)</v>
      </c>
      <c r="J72" s="5" t="str">
        <f t="shared" si="5"/>
        <v>P413</v>
      </c>
    </row>
    <row r="73" spans="1:10" ht="14.4" x14ac:dyDescent="0.3">
      <c r="A73" s="8" t="s">
        <v>218</v>
      </c>
      <c r="B73" s="8" t="s">
        <v>225</v>
      </c>
      <c r="C73" s="8" t="s">
        <v>100</v>
      </c>
      <c r="D73" s="8">
        <v>14</v>
      </c>
      <c r="E73" s="8" t="s">
        <v>138</v>
      </c>
      <c r="F73" s="8" t="s">
        <v>245</v>
      </c>
      <c r="G73" s="8">
        <v>1</v>
      </c>
      <c r="H73" s="8" t="s">
        <v>139</v>
      </c>
      <c r="I73" s="5" t="str">
        <f t="shared" si="4"/>
        <v>Mixed Numbers and Improper Fractions : mixed numbers, improper fractions and their relationship</v>
      </c>
      <c r="J73" s="5" t="str">
        <f t="shared" si="5"/>
        <v>P414</v>
      </c>
    </row>
    <row r="74" spans="1:10" ht="14.4" x14ac:dyDescent="0.3">
      <c r="A74" s="8" t="s">
        <v>218</v>
      </c>
      <c r="B74" s="8" t="s">
        <v>225</v>
      </c>
      <c r="C74" s="8" t="s">
        <v>100</v>
      </c>
      <c r="D74" s="8">
        <v>15</v>
      </c>
      <c r="E74" s="8" t="s">
        <v>140</v>
      </c>
      <c r="F74" s="8" t="s">
        <v>246</v>
      </c>
      <c r="G74" s="8">
        <v>1</v>
      </c>
      <c r="H74" s="8" t="s">
        <v>141</v>
      </c>
      <c r="I74" s="5" t="str">
        <f t="shared" si="4"/>
        <v xml:space="preserve">Fraction of a Set : fraction as part of a set </v>
      </c>
      <c r="J74" s="5" t="str">
        <f t="shared" si="5"/>
        <v>P415</v>
      </c>
    </row>
    <row r="75" spans="1:10" ht="14.4" x14ac:dyDescent="0.3">
      <c r="A75" s="8" t="s">
        <v>218</v>
      </c>
      <c r="B75" s="8" t="s">
        <v>225</v>
      </c>
      <c r="C75" s="8" t="s">
        <v>100</v>
      </c>
      <c r="D75" s="8">
        <v>16</v>
      </c>
      <c r="E75" s="8" t="s">
        <v>73</v>
      </c>
      <c r="F75" s="8" t="s">
        <v>239</v>
      </c>
      <c r="G75" s="8">
        <v>1</v>
      </c>
      <c r="H75" s="8" t="s">
        <v>142</v>
      </c>
      <c r="I75" s="5" t="str">
        <f t="shared" si="4"/>
        <v>Addition and Subtraction : adding and subtracting fractions with denominators of given fractions not exceeding 12 and not more than two different denominators</v>
      </c>
      <c r="J75" s="5" t="str">
        <f t="shared" si="5"/>
        <v>P416</v>
      </c>
    </row>
    <row r="76" spans="1:10" ht="14.4" x14ac:dyDescent="0.3">
      <c r="A76" s="8" t="s">
        <v>218</v>
      </c>
      <c r="B76" s="8" t="s">
        <v>225</v>
      </c>
      <c r="C76" s="8" t="s">
        <v>100</v>
      </c>
      <c r="D76" s="8">
        <v>17</v>
      </c>
      <c r="E76" s="8" t="s">
        <v>73</v>
      </c>
      <c r="F76" s="8" t="s">
        <v>239</v>
      </c>
      <c r="G76" s="8">
        <v>2</v>
      </c>
      <c r="H76" s="8" t="s">
        <v>143</v>
      </c>
      <c r="I76" s="5" t="str">
        <f t="shared" si="4"/>
        <v>Addition and Subtraction : solving up to 2-step word problems involving addition and subtraction</v>
      </c>
      <c r="J76" s="5" t="str">
        <f t="shared" si="5"/>
        <v>P417</v>
      </c>
    </row>
    <row r="77" spans="1:10" ht="14.4" x14ac:dyDescent="0.3">
      <c r="A77" s="8" t="s">
        <v>218</v>
      </c>
      <c r="B77" s="8" t="s">
        <v>225</v>
      </c>
      <c r="C77" s="8" t="s">
        <v>144</v>
      </c>
      <c r="D77" s="8">
        <v>18</v>
      </c>
      <c r="E77" s="8" t="s">
        <v>145</v>
      </c>
      <c r="F77" s="8" t="s">
        <v>248</v>
      </c>
      <c r="G77" s="8">
        <v>1</v>
      </c>
      <c r="H77" s="8" t="s">
        <v>146</v>
      </c>
      <c r="I77" s="5" t="str">
        <f t="shared" si="4"/>
        <v xml:space="preserve">Decimals up to 3 decimal places : notation, representations and place values (tenths, hundredths, thousandths) </v>
      </c>
      <c r="J77" s="5" t="str">
        <f t="shared" si="5"/>
        <v>P418</v>
      </c>
    </row>
    <row r="78" spans="1:10" ht="14.4" x14ac:dyDescent="0.3">
      <c r="A78" s="8" t="s">
        <v>218</v>
      </c>
      <c r="B78" s="8" t="s">
        <v>225</v>
      </c>
      <c r="C78" s="8" t="s">
        <v>144</v>
      </c>
      <c r="D78" s="8">
        <v>19</v>
      </c>
      <c r="E78" s="8" t="s">
        <v>145</v>
      </c>
      <c r="F78" s="8" t="s">
        <v>248</v>
      </c>
      <c r="G78" s="8">
        <v>2</v>
      </c>
      <c r="H78" s="8" t="s">
        <v>147</v>
      </c>
      <c r="I78" s="5" t="str">
        <f t="shared" si="4"/>
        <v>Decimals up to 3 decimal places : comparing and ordering decimals</v>
      </c>
      <c r="J78" s="5" t="str">
        <f t="shared" si="5"/>
        <v>P419</v>
      </c>
    </row>
    <row r="79" spans="1:10" ht="14.4" x14ac:dyDescent="0.3">
      <c r="A79" s="8" t="s">
        <v>218</v>
      </c>
      <c r="B79" s="8" t="s">
        <v>225</v>
      </c>
      <c r="C79" s="8" t="s">
        <v>144</v>
      </c>
      <c r="D79" s="8">
        <v>20</v>
      </c>
      <c r="E79" s="8" t="s">
        <v>145</v>
      </c>
      <c r="F79" s="8" t="s">
        <v>248</v>
      </c>
      <c r="G79" s="8">
        <v>3</v>
      </c>
      <c r="H79" s="8" t="s">
        <v>148</v>
      </c>
      <c r="I79" s="5" t="str">
        <f t="shared" si="4"/>
        <v>Decimals up to 3 decimal places : expressing decimals as fractions</v>
      </c>
      <c r="J79" s="5" t="str">
        <f t="shared" si="5"/>
        <v>P420</v>
      </c>
    </row>
    <row r="80" spans="1:10" ht="14.4" x14ac:dyDescent="0.3">
      <c r="A80" s="8" t="s">
        <v>218</v>
      </c>
      <c r="B80" s="8" t="s">
        <v>225</v>
      </c>
      <c r="C80" s="8" t="s">
        <v>144</v>
      </c>
      <c r="D80" s="8">
        <v>21</v>
      </c>
      <c r="E80" s="8" t="s">
        <v>145</v>
      </c>
      <c r="F80" s="8" t="s">
        <v>248</v>
      </c>
      <c r="G80" s="8">
        <v>4</v>
      </c>
      <c r="H80" s="8" t="s">
        <v>149</v>
      </c>
      <c r="I80" s="5" t="str">
        <f t="shared" si="4"/>
        <v>Decimals up to 3 decimal places : expressing fractions as decimals when the denominator is a factor of 10 or 100</v>
      </c>
      <c r="J80" s="5" t="str">
        <f t="shared" si="5"/>
        <v>P421</v>
      </c>
    </row>
    <row r="81" spans="1:10" ht="14.4" x14ac:dyDescent="0.3">
      <c r="A81" s="8" t="s">
        <v>218</v>
      </c>
      <c r="B81" s="8" t="s">
        <v>225</v>
      </c>
      <c r="C81" s="8" t="s">
        <v>144</v>
      </c>
      <c r="D81" s="8">
        <v>22</v>
      </c>
      <c r="E81" s="8" t="s">
        <v>145</v>
      </c>
      <c r="F81" s="8" t="s">
        <v>248</v>
      </c>
      <c r="G81" s="8">
        <v>5</v>
      </c>
      <c r="H81" s="8" t="s">
        <v>150</v>
      </c>
      <c r="I81" s="5" t="str">
        <f t="shared" si="4"/>
        <v xml:space="preserve">Decimals up to 3 decimal places : rounding decimals to the nearest whole number, 1 decimal place and 2 decimal places </v>
      </c>
      <c r="J81" s="5" t="str">
        <f t="shared" si="5"/>
        <v>P422</v>
      </c>
    </row>
    <row r="82" spans="1:10" ht="14.4" x14ac:dyDescent="0.3">
      <c r="A82" s="8" t="s">
        <v>218</v>
      </c>
      <c r="B82" s="8" t="s">
        <v>225</v>
      </c>
      <c r="C82" s="8" t="s">
        <v>144</v>
      </c>
      <c r="D82" s="8">
        <v>23</v>
      </c>
      <c r="E82" s="8" t="s">
        <v>73</v>
      </c>
      <c r="F82" s="8" t="s">
        <v>249</v>
      </c>
      <c r="G82" s="8">
        <v>1</v>
      </c>
      <c r="H82" s="8" t="s">
        <v>151</v>
      </c>
      <c r="I82" s="5" t="str">
        <f t="shared" si="4"/>
        <v>Addition and Subtraction : adding and subtracting decimals (up to 2 decimal places)</v>
      </c>
      <c r="J82" s="5" t="str">
        <f t="shared" si="5"/>
        <v>P423</v>
      </c>
    </row>
    <row r="83" spans="1:10" ht="14.4" x14ac:dyDescent="0.3">
      <c r="A83" s="8" t="s">
        <v>218</v>
      </c>
      <c r="B83" s="8" t="s">
        <v>225</v>
      </c>
      <c r="C83" s="8" t="s">
        <v>144</v>
      </c>
      <c r="D83" s="8">
        <v>24</v>
      </c>
      <c r="E83" s="8" t="s">
        <v>81</v>
      </c>
      <c r="F83" s="8" t="s">
        <v>250</v>
      </c>
      <c r="G83" s="8">
        <v>1</v>
      </c>
      <c r="H83" s="8" t="s">
        <v>152</v>
      </c>
      <c r="I83" s="5" t="str">
        <f t="shared" si="4"/>
        <v>Multiplication and Division : multiplying and dividing decimals (up to 2 decimal places) by a 1-digit whole number</v>
      </c>
      <c r="J83" s="5" t="str">
        <f t="shared" si="5"/>
        <v>P424</v>
      </c>
    </row>
    <row r="84" spans="1:10" ht="14.4" x14ac:dyDescent="0.3">
      <c r="A84" s="8" t="s">
        <v>218</v>
      </c>
      <c r="B84" s="8" t="s">
        <v>225</v>
      </c>
      <c r="C84" s="8" t="s">
        <v>144</v>
      </c>
      <c r="D84" s="8">
        <v>25</v>
      </c>
      <c r="E84" s="8" t="s">
        <v>81</v>
      </c>
      <c r="F84" s="8" t="s">
        <v>250</v>
      </c>
      <c r="G84" s="8">
        <v>2</v>
      </c>
      <c r="H84" s="8" t="s">
        <v>153</v>
      </c>
      <c r="I84" s="5" t="str">
        <f t="shared" si="4"/>
        <v>Multiplication and Division : dividing a whole number by a whole number with quotient as a decimal</v>
      </c>
      <c r="J84" s="5" t="str">
        <f t="shared" si="5"/>
        <v>P425</v>
      </c>
    </row>
    <row r="85" spans="1:10" ht="14.4" x14ac:dyDescent="0.3">
      <c r="A85" s="8" t="s">
        <v>218</v>
      </c>
      <c r="B85" s="8" t="s">
        <v>225</v>
      </c>
      <c r="C85" s="8" t="s">
        <v>144</v>
      </c>
      <c r="D85" s="8">
        <v>26</v>
      </c>
      <c r="E85" s="8" t="s">
        <v>81</v>
      </c>
      <c r="F85" s="8" t="s">
        <v>250</v>
      </c>
      <c r="G85" s="8">
        <v>3</v>
      </c>
      <c r="H85" s="8" t="s">
        <v>154</v>
      </c>
      <c r="I85" s="5" t="str">
        <f t="shared" si="4"/>
        <v>Multiplication and Division : rounding answers to a specified degree of accuracy</v>
      </c>
      <c r="J85" s="5" t="str">
        <f t="shared" si="5"/>
        <v>P426</v>
      </c>
    </row>
    <row r="86" spans="1:10" ht="14.4" x14ac:dyDescent="0.3">
      <c r="A86" s="8" t="s">
        <v>219</v>
      </c>
      <c r="B86" s="8" t="s">
        <v>226</v>
      </c>
      <c r="C86" s="8" t="s">
        <v>64</v>
      </c>
      <c r="D86" s="8">
        <v>1</v>
      </c>
      <c r="E86" s="8" t="s">
        <v>155</v>
      </c>
      <c r="F86" s="8" t="s">
        <v>251</v>
      </c>
      <c r="G86" s="8">
        <v>1</v>
      </c>
      <c r="H86" s="8" t="s">
        <v>156</v>
      </c>
      <c r="I86" s="5" t="str">
        <f t="shared" si="4"/>
        <v xml:space="preserve">Numbers up to 10 million : reading and writing numbers in numerals and in words </v>
      </c>
      <c r="J86" s="5" t="str">
        <f t="shared" si="5"/>
        <v>P501</v>
      </c>
    </row>
    <row r="87" spans="1:10" ht="14.4" x14ac:dyDescent="0.3">
      <c r="A87" s="8" t="s">
        <v>219</v>
      </c>
      <c r="B87" s="8" t="s">
        <v>226</v>
      </c>
      <c r="C87" s="8" t="s">
        <v>64</v>
      </c>
      <c r="D87" s="8">
        <v>2</v>
      </c>
      <c r="E87" s="8" t="s">
        <v>135</v>
      </c>
      <c r="F87" s="8" t="s">
        <v>244</v>
      </c>
      <c r="G87" s="8">
        <v>1</v>
      </c>
      <c r="H87" s="8" t="s">
        <v>157</v>
      </c>
      <c r="I87" s="5" t="str">
        <f t="shared" si="4"/>
        <v>Four Operations : multiplying and dividing by 10, 100, 1000 and their multiples without calculator</v>
      </c>
      <c r="J87" s="5" t="str">
        <f t="shared" si="5"/>
        <v>P502</v>
      </c>
    </row>
    <row r="88" spans="1:10" ht="14.4" x14ac:dyDescent="0.3">
      <c r="A88" s="8" t="s">
        <v>219</v>
      </c>
      <c r="B88" s="8" t="s">
        <v>226</v>
      </c>
      <c r="C88" s="8" t="s">
        <v>64</v>
      </c>
      <c r="D88" s="8">
        <v>3</v>
      </c>
      <c r="E88" s="8" t="s">
        <v>135</v>
      </c>
      <c r="F88" s="8" t="s">
        <v>244</v>
      </c>
      <c r="G88" s="8">
        <v>2</v>
      </c>
      <c r="H88" s="8" t="s">
        <v>158</v>
      </c>
      <c r="I88" s="5" t="str">
        <f t="shared" si="4"/>
        <v>Four Operations : order of operations without calculator</v>
      </c>
      <c r="J88" s="5" t="str">
        <f t="shared" si="5"/>
        <v>P503</v>
      </c>
    </row>
    <row r="89" spans="1:10" ht="14.4" x14ac:dyDescent="0.3">
      <c r="A89" s="8" t="s">
        <v>219</v>
      </c>
      <c r="B89" s="8" t="s">
        <v>226</v>
      </c>
      <c r="C89" s="8" t="s">
        <v>64</v>
      </c>
      <c r="D89" s="8">
        <v>4</v>
      </c>
      <c r="E89" s="8" t="s">
        <v>135</v>
      </c>
      <c r="F89" s="8" t="s">
        <v>244</v>
      </c>
      <c r="G89" s="8">
        <v>3</v>
      </c>
      <c r="H89" s="8" t="s">
        <v>159</v>
      </c>
      <c r="I89" s="5" t="str">
        <f t="shared" si="4"/>
        <v>Four Operations : use of brackets without calculator</v>
      </c>
      <c r="J89" s="5" t="str">
        <f t="shared" si="5"/>
        <v>P504</v>
      </c>
    </row>
    <row r="90" spans="1:10" ht="14.4" x14ac:dyDescent="0.3">
      <c r="A90" s="8" t="s">
        <v>219</v>
      </c>
      <c r="B90" s="8" t="s">
        <v>226</v>
      </c>
      <c r="C90" s="8" t="s">
        <v>100</v>
      </c>
      <c r="D90" s="8">
        <v>5</v>
      </c>
      <c r="E90" s="8" t="s">
        <v>160</v>
      </c>
      <c r="F90" s="8" t="s">
        <v>252</v>
      </c>
      <c r="G90" s="8">
        <v>1</v>
      </c>
      <c r="H90" s="8" t="s">
        <v>161</v>
      </c>
      <c r="I90" s="5" t="str">
        <f t="shared" si="4"/>
        <v>Fraction and Division : dividing a whole number by a whole number with quotient as a fraction</v>
      </c>
      <c r="J90" s="5" t="str">
        <f t="shared" si="5"/>
        <v>P505</v>
      </c>
    </row>
    <row r="91" spans="1:10" ht="14.4" x14ac:dyDescent="0.3">
      <c r="A91" s="8" t="s">
        <v>219</v>
      </c>
      <c r="B91" s="8" t="s">
        <v>226</v>
      </c>
      <c r="C91" s="8" t="s">
        <v>100</v>
      </c>
      <c r="D91" s="8">
        <v>6</v>
      </c>
      <c r="E91" s="8" t="s">
        <v>160</v>
      </c>
      <c r="F91" s="8" t="s">
        <v>252</v>
      </c>
      <c r="G91" s="8">
        <v>2</v>
      </c>
      <c r="H91" s="8" t="s">
        <v>162</v>
      </c>
      <c r="I91" s="5" t="str">
        <f t="shared" si="4"/>
        <v>Fraction and Division : expressing fractions as decimals</v>
      </c>
      <c r="J91" s="5" t="str">
        <f t="shared" si="5"/>
        <v>P506</v>
      </c>
    </row>
    <row r="92" spans="1:10" ht="14.4" x14ac:dyDescent="0.3">
      <c r="A92" s="8" t="s">
        <v>219</v>
      </c>
      <c r="B92" s="8" t="s">
        <v>226</v>
      </c>
      <c r="C92" s="8" t="s">
        <v>100</v>
      </c>
      <c r="D92" s="8">
        <v>7</v>
      </c>
      <c r="E92" s="8" t="s">
        <v>135</v>
      </c>
      <c r="F92" s="8" t="s">
        <v>253</v>
      </c>
      <c r="G92" s="8">
        <v>1</v>
      </c>
      <c r="H92" s="8" t="s">
        <v>163</v>
      </c>
      <c r="I92" s="5" t="str">
        <f t="shared" si="4"/>
        <v>Four Operations : adding and subtracting mixed numbers</v>
      </c>
      <c r="J92" s="5" t="str">
        <f t="shared" si="5"/>
        <v>P507</v>
      </c>
    </row>
    <row r="93" spans="1:10" ht="14.4" x14ac:dyDescent="0.3">
      <c r="A93" s="8" t="s">
        <v>219</v>
      </c>
      <c r="B93" s="8" t="s">
        <v>226</v>
      </c>
      <c r="C93" s="8" t="s">
        <v>100</v>
      </c>
      <c r="D93" s="8">
        <v>8</v>
      </c>
      <c r="E93" s="8" t="s">
        <v>135</v>
      </c>
      <c r="F93" s="8" t="s">
        <v>253</v>
      </c>
      <c r="G93" s="8">
        <v>2</v>
      </c>
      <c r="H93" s="8" t="s">
        <v>164</v>
      </c>
      <c r="I93" s="5" t="str">
        <f t="shared" si="4"/>
        <v>Four Operations : multiplying a proper/improper fraction and a whole number without calculator</v>
      </c>
      <c r="J93" s="5" t="str">
        <f t="shared" si="5"/>
        <v>P508</v>
      </c>
    </row>
    <row r="94" spans="1:10" ht="14.4" x14ac:dyDescent="0.3">
      <c r="A94" s="8" t="s">
        <v>219</v>
      </c>
      <c r="B94" s="8" t="s">
        <v>226</v>
      </c>
      <c r="C94" s="8" t="s">
        <v>100</v>
      </c>
      <c r="D94" s="8">
        <v>9</v>
      </c>
      <c r="E94" s="8" t="s">
        <v>135</v>
      </c>
      <c r="F94" s="8" t="s">
        <v>253</v>
      </c>
      <c r="G94" s="8">
        <v>3</v>
      </c>
      <c r="H94" s="8" t="s">
        <v>165</v>
      </c>
      <c r="I94" s="5" t="str">
        <f t="shared" si="4"/>
        <v>Four Operations : multiplying a proper fraction and a proper/ improper fractions without calculator</v>
      </c>
      <c r="J94" s="5" t="str">
        <f t="shared" si="5"/>
        <v>P509</v>
      </c>
    </row>
    <row r="95" spans="1:10" ht="14.4" x14ac:dyDescent="0.3">
      <c r="A95" s="8" t="s">
        <v>219</v>
      </c>
      <c r="B95" s="8" t="s">
        <v>226</v>
      </c>
      <c r="C95" s="8" t="s">
        <v>100</v>
      </c>
      <c r="D95" s="8">
        <v>10</v>
      </c>
      <c r="E95" s="8" t="s">
        <v>135</v>
      </c>
      <c r="F95" s="8" t="s">
        <v>253</v>
      </c>
      <c r="G95" s="8">
        <v>4</v>
      </c>
      <c r="H95" s="8" t="s">
        <v>166</v>
      </c>
      <c r="I95" s="5" t="str">
        <f t="shared" si="4"/>
        <v>Four Operations : multiplying two improper fractions</v>
      </c>
      <c r="J95" s="5" t="str">
        <f t="shared" si="5"/>
        <v>P510</v>
      </c>
    </row>
    <row r="96" spans="1:10" ht="14.4" x14ac:dyDescent="0.3">
      <c r="A96" s="8" t="s">
        <v>219</v>
      </c>
      <c r="B96" s="8" t="s">
        <v>226</v>
      </c>
      <c r="C96" s="8" t="s">
        <v>100</v>
      </c>
      <c r="D96" s="8">
        <v>11</v>
      </c>
      <c r="E96" s="8" t="s">
        <v>135</v>
      </c>
      <c r="F96" s="8" t="s">
        <v>253</v>
      </c>
      <c r="G96" s="8">
        <v>5</v>
      </c>
      <c r="H96" s="8" t="s">
        <v>167</v>
      </c>
      <c r="I96" s="5" t="str">
        <f t="shared" si="4"/>
        <v>Four Operations : multiplying a mixed number and a whole number</v>
      </c>
      <c r="J96" s="5" t="str">
        <f t="shared" si="5"/>
        <v>P511</v>
      </c>
    </row>
    <row r="97" spans="1:10" ht="14.4" x14ac:dyDescent="0.3">
      <c r="A97" s="8" t="s">
        <v>219</v>
      </c>
      <c r="B97" s="8" t="s">
        <v>226</v>
      </c>
      <c r="C97" s="8" t="s">
        <v>100</v>
      </c>
      <c r="D97" s="8">
        <v>12</v>
      </c>
      <c r="E97" s="8" t="s">
        <v>135</v>
      </c>
      <c r="F97" s="8" t="s">
        <v>253</v>
      </c>
      <c r="G97" s="8">
        <v>6</v>
      </c>
      <c r="H97" s="8" t="s">
        <v>168</v>
      </c>
      <c r="I97" s="5" t="str">
        <f t="shared" si="4"/>
        <v>Four Operations : solving word problems involving addition, subtraction and multiplication</v>
      </c>
      <c r="J97" s="5" t="str">
        <f t="shared" si="5"/>
        <v>P512</v>
      </c>
    </row>
    <row r="98" spans="1:10" ht="14.4" x14ac:dyDescent="0.3">
      <c r="A98" s="8" t="s">
        <v>219</v>
      </c>
      <c r="B98" s="8" t="s">
        <v>226</v>
      </c>
      <c r="C98" s="8" t="s">
        <v>144</v>
      </c>
      <c r="D98" s="8">
        <v>13</v>
      </c>
      <c r="E98" s="8" t="s">
        <v>135</v>
      </c>
      <c r="F98" s="8" t="s">
        <v>254</v>
      </c>
      <c r="G98" s="8">
        <v>7</v>
      </c>
      <c r="H98" s="8" t="s">
        <v>169</v>
      </c>
      <c r="I98" s="5" t="str">
        <f t="shared" ref="I98:I129" si="6">E98 &amp; " : " &amp; H98</f>
        <v>Four Operations : multiplying and dividing decimals (up to 3 decimal places) by 10, 100, 1000 and their multiples without calculator</v>
      </c>
      <c r="J98" s="5" t="str">
        <f t="shared" si="5"/>
        <v>P513</v>
      </c>
    </row>
    <row r="99" spans="1:10" ht="14.4" x14ac:dyDescent="0.3">
      <c r="A99" s="8" t="s">
        <v>219</v>
      </c>
      <c r="B99" s="8" t="s">
        <v>226</v>
      </c>
      <c r="C99" s="8" t="s">
        <v>144</v>
      </c>
      <c r="D99" s="8">
        <v>14</v>
      </c>
      <c r="E99" s="8" t="s">
        <v>135</v>
      </c>
      <c r="F99" s="8" t="s">
        <v>254</v>
      </c>
      <c r="G99" s="8">
        <v>8</v>
      </c>
      <c r="H99" s="8" t="s">
        <v>170</v>
      </c>
      <c r="I99" s="5" t="str">
        <f t="shared" si="6"/>
        <v>Four Operations : converting a measurement from a smaller unit to a larger unit in decimal form, and vice versa, e.g., kilometres and metres, metres and centimetres, kilograms and grams, litres and millilitres</v>
      </c>
      <c r="J99" s="5" t="str">
        <f t="shared" si="5"/>
        <v>P514</v>
      </c>
    </row>
    <row r="100" spans="1:10" ht="14.4" x14ac:dyDescent="0.3">
      <c r="A100" s="8" t="s">
        <v>219</v>
      </c>
      <c r="B100" s="8" t="s">
        <v>226</v>
      </c>
      <c r="C100" s="8" t="s">
        <v>171</v>
      </c>
      <c r="D100" s="8">
        <v>15</v>
      </c>
      <c r="E100" s="8" t="s">
        <v>16</v>
      </c>
      <c r="F100" s="8" t="s">
        <v>256</v>
      </c>
      <c r="G100" s="8">
        <v>1</v>
      </c>
      <c r="H100" s="8" t="s">
        <v>172</v>
      </c>
      <c r="I100" s="5" t="str">
        <f t="shared" si="6"/>
        <v>Percentage : expressing a part of a whole as a percentage</v>
      </c>
      <c r="J100" s="5" t="str">
        <f t="shared" si="5"/>
        <v>P515</v>
      </c>
    </row>
    <row r="101" spans="1:10" ht="14.4" x14ac:dyDescent="0.3">
      <c r="A101" s="8" t="s">
        <v>219</v>
      </c>
      <c r="B101" s="8" t="s">
        <v>226</v>
      </c>
      <c r="C101" s="8" t="s">
        <v>171</v>
      </c>
      <c r="D101" s="8">
        <v>16</v>
      </c>
      <c r="E101" s="8" t="s">
        <v>16</v>
      </c>
      <c r="F101" s="8" t="s">
        <v>256</v>
      </c>
      <c r="G101" s="8">
        <v>2</v>
      </c>
      <c r="H101" s="8" t="s">
        <v>173</v>
      </c>
      <c r="I101" s="5" t="str">
        <f t="shared" si="6"/>
        <v>Percentage : use of %</v>
      </c>
      <c r="J101" s="5" t="str">
        <f t="shared" si="5"/>
        <v>P516</v>
      </c>
    </row>
    <row r="102" spans="1:10" ht="14.4" x14ac:dyDescent="0.3">
      <c r="A102" s="8" t="s">
        <v>219</v>
      </c>
      <c r="B102" s="8" t="s">
        <v>226</v>
      </c>
      <c r="C102" s="8" t="s">
        <v>171</v>
      </c>
      <c r="D102" s="8">
        <v>17</v>
      </c>
      <c r="E102" s="8" t="s">
        <v>16</v>
      </c>
      <c r="F102" s="8" t="s">
        <v>256</v>
      </c>
      <c r="G102" s="8">
        <v>3</v>
      </c>
      <c r="H102" s="8" t="s">
        <v>174</v>
      </c>
      <c r="I102" s="5" t="str">
        <f t="shared" si="6"/>
        <v>Percentage : finding a percentage part of a whole</v>
      </c>
      <c r="J102" s="5" t="str">
        <f t="shared" si="5"/>
        <v>P517</v>
      </c>
    </row>
    <row r="103" spans="1:10" ht="14.4" x14ac:dyDescent="0.3">
      <c r="A103" s="8" t="s">
        <v>219</v>
      </c>
      <c r="B103" s="8" t="s">
        <v>226</v>
      </c>
      <c r="C103" s="8" t="s">
        <v>171</v>
      </c>
      <c r="D103" s="8">
        <v>18</v>
      </c>
      <c r="E103" s="8" t="s">
        <v>16</v>
      </c>
      <c r="F103" s="8" t="s">
        <v>256</v>
      </c>
      <c r="G103" s="8">
        <v>4</v>
      </c>
      <c r="H103" s="8" t="s">
        <v>175</v>
      </c>
      <c r="I103" s="5" t="str">
        <f t="shared" si="6"/>
        <v>Percentage : finding discount, GST and annual interes</v>
      </c>
      <c r="J103" s="5" t="str">
        <f t="shared" si="5"/>
        <v>P518</v>
      </c>
    </row>
    <row r="104" spans="1:10" ht="14.4" x14ac:dyDescent="0.3">
      <c r="A104" s="8" t="s">
        <v>219</v>
      </c>
      <c r="B104" s="8" t="s">
        <v>226</v>
      </c>
      <c r="C104" s="8" t="s">
        <v>176</v>
      </c>
      <c r="D104" s="8">
        <v>19</v>
      </c>
      <c r="E104" s="8" t="s">
        <v>177</v>
      </c>
      <c r="F104" s="8" t="s">
        <v>255</v>
      </c>
      <c r="G104" s="8">
        <v>1</v>
      </c>
      <c r="H104" s="8" t="s">
        <v>178</v>
      </c>
      <c r="I104" s="5" t="str">
        <f t="shared" si="6"/>
        <v>Rate : rate as the amount of a quantity per unit of another quantity</v>
      </c>
      <c r="J104" s="5" t="str">
        <f t="shared" si="5"/>
        <v>P519</v>
      </c>
    </row>
    <row r="105" spans="1:10" ht="14.4" x14ac:dyDescent="0.3">
      <c r="A105" s="8" t="s">
        <v>219</v>
      </c>
      <c r="B105" s="8" t="s">
        <v>226</v>
      </c>
      <c r="C105" s="8" t="s">
        <v>176</v>
      </c>
      <c r="D105" s="8">
        <v>20</v>
      </c>
      <c r="E105" s="8" t="s">
        <v>177</v>
      </c>
      <c r="F105" s="8" t="s">
        <v>255</v>
      </c>
      <c r="G105" s="8">
        <v>2</v>
      </c>
      <c r="H105" s="8" t="s">
        <v>179</v>
      </c>
      <c r="I105" s="5" t="str">
        <f t="shared" si="6"/>
        <v>Rate : finding rate, total amount or number of units given the other two quantities</v>
      </c>
      <c r="J105" s="5" t="str">
        <f t="shared" si="5"/>
        <v>P520</v>
      </c>
    </row>
    <row r="106" spans="1:10" ht="14.4" x14ac:dyDescent="0.3">
      <c r="A106" s="8" t="s">
        <v>220</v>
      </c>
      <c r="B106" s="8" t="s">
        <v>227</v>
      </c>
      <c r="C106" s="8" t="s">
        <v>100</v>
      </c>
      <c r="D106" s="8">
        <v>1</v>
      </c>
      <c r="E106" s="8" t="s">
        <v>135</v>
      </c>
      <c r="F106" s="8" t="s">
        <v>253</v>
      </c>
      <c r="G106" s="8">
        <v>1</v>
      </c>
      <c r="H106" s="8" t="s">
        <v>180</v>
      </c>
      <c r="I106" s="5" t="str">
        <f t="shared" si="6"/>
        <v>Four Operations : dividing a proper fraction by a whole number without calculator</v>
      </c>
      <c r="J106" s="5" t="str">
        <f t="shared" si="5"/>
        <v>P601</v>
      </c>
    </row>
    <row r="107" spans="1:10" ht="14.4" x14ac:dyDescent="0.3">
      <c r="A107" s="8" t="s">
        <v>220</v>
      </c>
      <c r="B107" s="8" t="s">
        <v>227</v>
      </c>
      <c r="C107" s="8" t="s">
        <v>100</v>
      </c>
      <c r="D107" s="8">
        <v>2</v>
      </c>
      <c r="E107" s="8" t="s">
        <v>135</v>
      </c>
      <c r="F107" s="8" t="s">
        <v>253</v>
      </c>
      <c r="G107" s="8">
        <v>2</v>
      </c>
      <c r="H107" s="8" t="s">
        <v>181</v>
      </c>
      <c r="I107" s="5" t="str">
        <f t="shared" si="6"/>
        <v>Four Operations : dividing a whole number/proper fraction by a proper fraction without calculator</v>
      </c>
      <c r="J107" s="5" t="str">
        <f t="shared" si="5"/>
        <v>P602</v>
      </c>
    </row>
    <row r="108" spans="1:10" ht="14.4" x14ac:dyDescent="0.3">
      <c r="A108" s="8" t="s">
        <v>220</v>
      </c>
      <c r="B108" s="8" t="s">
        <v>227</v>
      </c>
      <c r="C108" s="8" t="s">
        <v>100</v>
      </c>
      <c r="D108" s="8">
        <v>3</v>
      </c>
      <c r="E108" s="8" t="s">
        <v>135</v>
      </c>
      <c r="F108" s="8" t="s">
        <v>253</v>
      </c>
      <c r="G108" s="8">
        <v>3</v>
      </c>
      <c r="H108" s="8" t="s">
        <v>182</v>
      </c>
      <c r="I108" s="5" t="str">
        <f t="shared" si="6"/>
        <v>Four Operations : solving word problems involving the four operations</v>
      </c>
      <c r="J108" s="5" t="str">
        <f t="shared" si="5"/>
        <v>P603</v>
      </c>
    </row>
    <row r="109" spans="1:10" ht="14.4" x14ac:dyDescent="0.3">
      <c r="A109" s="8" t="s">
        <v>220</v>
      </c>
      <c r="B109" s="8" t="s">
        <v>227</v>
      </c>
      <c r="C109" s="8" t="s">
        <v>171</v>
      </c>
      <c r="D109" s="8">
        <v>4</v>
      </c>
      <c r="E109" s="8" t="s">
        <v>16</v>
      </c>
      <c r="F109" s="8" t="s">
        <v>256</v>
      </c>
      <c r="G109" s="8">
        <v>1</v>
      </c>
      <c r="H109" s="8" t="s">
        <v>183</v>
      </c>
      <c r="I109" s="5" t="str">
        <f t="shared" si="6"/>
        <v>Percentage : finding the whole given a part and the percentage</v>
      </c>
      <c r="J109" s="5" t="str">
        <f t="shared" si="5"/>
        <v>P604</v>
      </c>
    </row>
    <row r="110" spans="1:10" ht="14.4" x14ac:dyDescent="0.3">
      <c r="A110" s="8" t="s">
        <v>220</v>
      </c>
      <c r="B110" s="8" t="s">
        <v>227</v>
      </c>
      <c r="C110" s="8" t="s">
        <v>171</v>
      </c>
      <c r="D110" s="8">
        <v>5</v>
      </c>
      <c r="E110" s="8" t="s">
        <v>16</v>
      </c>
      <c r="F110" s="8" t="s">
        <v>256</v>
      </c>
      <c r="G110" s="8">
        <v>2</v>
      </c>
      <c r="H110" s="8" t="s">
        <v>21</v>
      </c>
      <c r="I110" s="5" t="str">
        <f t="shared" si="6"/>
        <v>Percentage : finding percentage increase/decrease</v>
      </c>
      <c r="J110" s="5" t="str">
        <f t="shared" si="5"/>
        <v>P605</v>
      </c>
    </row>
    <row r="111" spans="1:10" ht="14.4" x14ac:dyDescent="0.3">
      <c r="A111" s="8" t="s">
        <v>220</v>
      </c>
      <c r="B111" s="8" t="s">
        <v>227</v>
      </c>
      <c r="C111" s="8" t="s">
        <v>184</v>
      </c>
      <c r="D111" s="8">
        <v>6</v>
      </c>
      <c r="E111" s="8" t="s">
        <v>185</v>
      </c>
      <c r="F111" s="8" t="s">
        <v>257</v>
      </c>
      <c r="G111" s="8">
        <v>1</v>
      </c>
      <c r="H111" s="8" t="s">
        <v>186</v>
      </c>
      <c r="I111" s="5" t="str">
        <f t="shared" si="6"/>
        <v>Ratio : notation, representations and interpretation of a:b and a:b:c, where a, b and c are whole numbers, excluding ratios involving fractions and decimals</v>
      </c>
      <c r="J111" s="5" t="str">
        <f t="shared" si="5"/>
        <v>P606</v>
      </c>
    </row>
    <row r="112" spans="1:10" ht="14.4" x14ac:dyDescent="0.3">
      <c r="A112" s="8" t="s">
        <v>220</v>
      </c>
      <c r="B112" s="8" t="s">
        <v>227</v>
      </c>
      <c r="C112" s="8" t="s">
        <v>184</v>
      </c>
      <c r="D112" s="8">
        <v>7</v>
      </c>
      <c r="E112" s="8" t="s">
        <v>185</v>
      </c>
      <c r="F112" s="8" t="s">
        <v>257</v>
      </c>
      <c r="G112" s="8">
        <v>2</v>
      </c>
      <c r="H112" s="8" t="s">
        <v>13</v>
      </c>
      <c r="I112" s="5" t="str">
        <f t="shared" si="6"/>
        <v>Ratio : equivalent ratios</v>
      </c>
      <c r="J112" s="5" t="str">
        <f t="shared" si="5"/>
        <v>P607</v>
      </c>
    </row>
    <row r="113" spans="1:10" ht="14.4" x14ac:dyDescent="0.3">
      <c r="A113" s="8" t="s">
        <v>220</v>
      </c>
      <c r="B113" s="8" t="s">
        <v>227</v>
      </c>
      <c r="C113" s="8" t="s">
        <v>184</v>
      </c>
      <c r="D113" s="8">
        <v>8</v>
      </c>
      <c r="E113" s="8" t="s">
        <v>185</v>
      </c>
      <c r="F113" s="8" t="s">
        <v>257</v>
      </c>
      <c r="G113" s="8">
        <v>3</v>
      </c>
      <c r="H113" s="8" t="s">
        <v>11</v>
      </c>
      <c r="I113" s="5" t="str">
        <f t="shared" si="6"/>
        <v>Ratio : dividing a quantity in a given ratio</v>
      </c>
      <c r="J113" s="5" t="str">
        <f t="shared" si="5"/>
        <v>P608</v>
      </c>
    </row>
    <row r="114" spans="1:10" ht="14.4" x14ac:dyDescent="0.3">
      <c r="A114" s="8" t="s">
        <v>220</v>
      </c>
      <c r="B114" s="8" t="s">
        <v>227</v>
      </c>
      <c r="C114" s="8" t="s">
        <v>184</v>
      </c>
      <c r="D114" s="8">
        <v>9</v>
      </c>
      <c r="E114" s="8" t="s">
        <v>185</v>
      </c>
      <c r="F114" s="8" t="s">
        <v>257</v>
      </c>
      <c r="G114" s="8">
        <v>4</v>
      </c>
      <c r="H114" s="8" t="s">
        <v>187</v>
      </c>
      <c r="I114" s="5" t="str">
        <f t="shared" si="6"/>
        <v>Ratio : expressing a ratio in its simplest form</v>
      </c>
      <c r="J114" s="5" t="str">
        <f t="shared" si="5"/>
        <v>P609</v>
      </c>
    </row>
    <row r="115" spans="1:10" ht="14.4" x14ac:dyDescent="0.3">
      <c r="A115" s="8" t="s">
        <v>220</v>
      </c>
      <c r="B115" s="8" t="s">
        <v>227</v>
      </c>
      <c r="C115" s="8" t="s">
        <v>184</v>
      </c>
      <c r="D115" s="8">
        <v>10</v>
      </c>
      <c r="E115" s="8" t="s">
        <v>185</v>
      </c>
      <c r="F115" s="8" t="s">
        <v>257</v>
      </c>
      <c r="G115" s="8">
        <v>5</v>
      </c>
      <c r="H115" s="8" t="s">
        <v>188</v>
      </c>
      <c r="I115" s="5" t="str">
        <f t="shared" si="6"/>
        <v>Ratio : finding the ratio of two or three given quantities</v>
      </c>
      <c r="J115" s="5" t="str">
        <f t="shared" si="5"/>
        <v>P610</v>
      </c>
    </row>
    <row r="116" spans="1:10" ht="14.4" x14ac:dyDescent="0.3">
      <c r="A116" s="8" t="s">
        <v>220</v>
      </c>
      <c r="B116" s="8" t="s">
        <v>227</v>
      </c>
      <c r="C116" s="8" t="s">
        <v>184</v>
      </c>
      <c r="D116" s="8">
        <v>11</v>
      </c>
      <c r="E116" s="8" t="s">
        <v>185</v>
      </c>
      <c r="F116" s="8" t="s">
        <v>257</v>
      </c>
      <c r="G116" s="8">
        <v>6</v>
      </c>
      <c r="H116" s="8" t="s">
        <v>189</v>
      </c>
      <c r="I116" s="5" t="str">
        <f t="shared" si="6"/>
        <v>Ratio : finding the missing term in a pair of equivalent ratios</v>
      </c>
      <c r="J116" s="5" t="str">
        <f t="shared" si="5"/>
        <v>P611</v>
      </c>
    </row>
    <row r="117" spans="1:10" ht="14.4" x14ac:dyDescent="0.3">
      <c r="A117" s="8" t="s">
        <v>220</v>
      </c>
      <c r="B117" s="8" t="s">
        <v>227</v>
      </c>
      <c r="C117" s="8" t="s">
        <v>184</v>
      </c>
      <c r="D117" s="8">
        <v>12</v>
      </c>
      <c r="E117" s="8" t="s">
        <v>185</v>
      </c>
      <c r="F117" s="8" t="s">
        <v>257</v>
      </c>
      <c r="G117" s="8">
        <v>7</v>
      </c>
      <c r="H117" s="8" t="s">
        <v>190</v>
      </c>
      <c r="I117" s="5" t="str">
        <f t="shared" si="6"/>
        <v>Ratio : relationship between fraction and ratio</v>
      </c>
      <c r="J117" s="5" t="str">
        <f t="shared" si="5"/>
        <v>P612</v>
      </c>
    </row>
    <row r="118" spans="1:10" ht="14.4" x14ac:dyDescent="0.3">
      <c r="A118" s="8" t="s">
        <v>220</v>
      </c>
      <c r="B118" s="8" t="s">
        <v>227</v>
      </c>
      <c r="C118" s="8" t="s">
        <v>191</v>
      </c>
      <c r="D118" s="8">
        <v>13</v>
      </c>
      <c r="E118" s="8" t="s">
        <v>192</v>
      </c>
      <c r="F118" s="8" t="s">
        <v>258</v>
      </c>
      <c r="G118" s="8">
        <v>1</v>
      </c>
      <c r="H118" s="8" t="s">
        <v>193</v>
      </c>
      <c r="I118" s="5" t="str">
        <f t="shared" si="6"/>
        <v>Algebra : using a letter to represent an unknown number</v>
      </c>
      <c r="J118" s="5" t="str">
        <f t="shared" si="5"/>
        <v>P613</v>
      </c>
    </row>
    <row r="119" spans="1:10" ht="14.4" x14ac:dyDescent="0.3">
      <c r="A119" s="8" t="s">
        <v>220</v>
      </c>
      <c r="B119" s="8" t="s">
        <v>227</v>
      </c>
      <c r="C119" s="8" t="s">
        <v>191</v>
      </c>
      <c r="D119" s="8">
        <v>14</v>
      </c>
      <c r="E119" s="8" t="s">
        <v>192</v>
      </c>
      <c r="F119" s="8" t="s">
        <v>258</v>
      </c>
      <c r="G119" s="8">
        <v>2</v>
      </c>
      <c r="H119" s="8" t="s">
        <v>194</v>
      </c>
      <c r="I119" s="5" t="str">
        <f t="shared" si="6"/>
        <v>Algebra : notation, representations and interpretation of simple algebraic expressions such as a+3, a-3, a*3 or 3a, a÷3 or a/3</v>
      </c>
      <c r="J119" s="5" t="str">
        <f t="shared" si="5"/>
        <v>P614</v>
      </c>
    </row>
    <row r="120" spans="1:10" ht="14.4" x14ac:dyDescent="0.3">
      <c r="A120" s="8" t="s">
        <v>220</v>
      </c>
      <c r="B120" s="8" t="s">
        <v>227</v>
      </c>
      <c r="C120" s="8" t="s">
        <v>191</v>
      </c>
      <c r="D120" s="8">
        <v>15</v>
      </c>
      <c r="E120" s="8" t="s">
        <v>192</v>
      </c>
      <c r="F120" s="8" t="s">
        <v>258</v>
      </c>
      <c r="G120" s="8">
        <v>3</v>
      </c>
      <c r="H120" s="8" t="s">
        <v>195</v>
      </c>
      <c r="I120" s="5" t="str">
        <f t="shared" si="6"/>
        <v>Algebra : simplifying simple linear expressions excluding brackets</v>
      </c>
      <c r="J120" s="5" t="str">
        <f t="shared" si="5"/>
        <v>P615</v>
      </c>
    </row>
    <row r="121" spans="1:10" ht="14.4" x14ac:dyDescent="0.3">
      <c r="A121" s="8" t="s">
        <v>220</v>
      </c>
      <c r="B121" s="8" t="s">
        <v>227</v>
      </c>
      <c r="C121" s="8" t="s">
        <v>191</v>
      </c>
      <c r="D121" s="8">
        <v>16</v>
      </c>
      <c r="E121" s="8" t="s">
        <v>192</v>
      </c>
      <c r="F121" s="8" t="s">
        <v>258</v>
      </c>
      <c r="G121" s="8">
        <v>4</v>
      </c>
      <c r="H121" s="8" t="s">
        <v>196</v>
      </c>
      <c r="I121" s="5" t="str">
        <f t="shared" si="6"/>
        <v>Algebra : evaluating simple linear expressions by substitution</v>
      </c>
      <c r="J121" s="5" t="str">
        <f t="shared" si="5"/>
        <v>P616</v>
      </c>
    </row>
    <row r="122" spans="1:10" ht="14.4" x14ac:dyDescent="0.3">
      <c r="A122" s="8" t="s">
        <v>220</v>
      </c>
      <c r="B122" s="8" t="s">
        <v>227</v>
      </c>
      <c r="C122" s="8" t="s">
        <v>191</v>
      </c>
      <c r="D122" s="8">
        <v>17</v>
      </c>
      <c r="E122" s="8" t="s">
        <v>192</v>
      </c>
      <c r="F122" s="8" t="s">
        <v>258</v>
      </c>
      <c r="G122" s="8">
        <v>5</v>
      </c>
      <c r="H122" s="8" t="s">
        <v>197</v>
      </c>
      <c r="I122" s="5" t="str">
        <f t="shared" si="6"/>
        <v>Algebra : simple linear equations involving whole number coefficient only</v>
      </c>
      <c r="J122" s="5" t="str">
        <f t="shared" si="5"/>
        <v>P617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opLeftCell="A28" zoomScale="89" zoomScaleNormal="100" workbookViewId="0">
      <selection activeCell="A2" sqref="A2:XFD59"/>
    </sheetView>
  </sheetViews>
  <sheetFormatPr defaultRowHeight="13.8" x14ac:dyDescent="0.25"/>
  <cols>
    <col min="1" max="1" width="20.19921875" style="1" bestFit="1" customWidth="1"/>
    <col min="2" max="2" width="13.59765625" style="1" customWidth="1"/>
    <col min="3" max="3" width="26.796875" style="1" bestFit="1" customWidth="1"/>
    <col min="4" max="4" width="7.796875" style="1" customWidth="1"/>
    <col min="5" max="5" width="28.69921875" customWidth="1"/>
    <col min="6" max="6" width="16.3984375" customWidth="1"/>
    <col min="7" max="7" width="13.8984375" customWidth="1"/>
    <col min="8" max="8" width="153" bestFit="1" customWidth="1"/>
    <col min="9" max="9" width="176.19921875" customWidth="1"/>
  </cols>
  <sheetData>
    <row r="1" spans="1:10" ht="18" x14ac:dyDescent="0.35">
      <c r="A1" s="2" t="s">
        <v>0</v>
      </c>
      <c r="B1" s="2" t="s">
        <v>221</v>
      </c>
      <c r="C1" s="2" t="s">
        <v>210</v>
      </c>
      <c r="D1" s="2" t="s">
        <v>1</v>
      </c>
      <c r="E1" s="3" t="s">
        <v>202</v>
      </c>
      <c r="F1" s="7" t="s">
        <v>233</v>
      </c>
      <c r="G1" s="9" t="s">
        <v>238</v>
      </c>
      <c r="H1" s="3" t="s">
        <v>203</v>
      </c>
      <c r="I1" s="3" t="s">
        <v>211</v>
      </c>
      <c r="J1" s="3" t="s">
        <v>232</v>
      </c>
    </row>
    <row r="2" spans="1:10" x14ac:dyDescent="0.25">
      <c r="A2" s="4" t="s">
        <v>212</v>
      </c>
      <c r="B2" s="4" t="s">
        <v>228</v>
      </c>
      <c r="C2" s="4" t="s">
        <v>201</v>
      </c>
      <c r="D2" s="5">
        <v>1</v>
      </c>
      <c r="E2" s="5" t="s">
        <v>2</v>
      </c>
      <c r="F2" s="5" t="s">
        <v>264</v>
      </c>
      <c r="G2" s="5">
        <v>1</v>
      </c>
      <c r="H2" s="5" t="s">
        <v>3</v>
      </c>
      <c r="I2" s="5" t="str">
        <f>E2&amp;" : "&amp;H2</f>
        <v>Numbers and their operations : primes and prime factorisation</v>
      </c>
      <c r="J2" s="5" t="str">
        <f xml:space="preserve"> B2 &amp; TEXT(D2, "00")</f>
        <v>O101</v>
      </c>
    </row>
    <row r="3" spans="1:10" x14ac:dyDescent="0.25">
      <c r="A3" s="4" t="s">
        <v>212</v>
      </c>
      <c r="B3" s="4" t="s">
        <v>228</v>
      </c>
      <c r="C3" s="4" t="s">
        <v>201</v>
      </c>
      <c r="D3" s="5">
        <v>2</v>
      </c>
      <c r="E3" s="5" t="s">
        <v>2</v>
      </c>
      <c r="F3" s="5" t="s">
        <v>264</v>
      </c>
      <c r="G3" s="5">
        <v>2</v>
      </c>
      <c r="H3" s="5" t="s">
        <v>4</v>
      </c>
      <c r="I3" s="5" t="str">
        <f t="shared" ref="I3:I49" si="0">E3&amp;" : "&amp;H3</f>
        <v>Numbers and their operations : finding highest common factor (HCF) and lowest common multiple (LCM), squares, cubes, square roots and cube roots by prime factorisation</v>
      </c>
      <c r="J3" s="5" t="str">
        <f xml:space="preserve"> B3 &amp; TEXT(D3, "00")</f>
        <v>O102</v>
      </c>
    </row>
    <row r="4" spans="1:10" x14ac:dyDescent="0.25">
      <c r="A4" s="4" t="s">
        <v>212</v>
      </c>
      <c r="B4" s="4" t="s">
        <v>228</v>
      </c>
      <c r="C4" s="4" t="s">
        <v>201</v>
      </c>
      <c r="D4" s="5">
        <v>3</v>
      </c>
      <c r="E4" s="5" t="s">
        <v>2</v>
      </c>
      <c r="F4" s="5" t="s">
        <v>264</v>
      </c>
      <c r="G4" s="5">
        <v>3</v>
      </c>
      <c r="H4" s="5" t="s">
        <v>5</v>
      </c>
      <c r="I4" s="5" t="str">
        <f t="shared" si="0"/>
        <v>Numbers and their operations : negative numbers, integers, rational numbers, real numbers and their four operations</v>
      </c>
      <c r="J4" s="5" t="str">
        <f xml:space="preserve"> B4 &amp; TEXT(D4, "00")</f>
        <v>O103</v>
      </c>
    </row>
    <row r="5" spans="1:10" x14ac:dyDescent="0.25">
      <c r="A5" s="4" t="s">
        <v>212</v>
      </c>
      <c r="B5" s="4" t="s">
        <v>228</v>
      </c>
      <c r="C5" s="4" t="s">
        <v>201</v>
      </c>
      <c r="D5" s="5">
        <v>4</v>
      </c>
      <c r="E5" s="5" t="s">
        <v>2</v>
      </c>
      <c r="F5" s="5" t="s">
        <v>264</v>
      </c>
      <c r="G5" s="5">
        <v>4</v>
      </c>
      <c r="H5" s="5" t="s">
        <v>6</v>
      </c>
      <c r="I5" s="5" t="str">
        <f t="shared" si="0"/>
        <v>Numbers and their operations : calculations with calculator</v>
      </c>
      <c r="J5" s="5" t="str">
        <f xml:space="preserve"> B5 &amp; TEXT(D5, "00")</f>
        <v>O104</v>
      </c>
    </row>
    <row r="6" spans="1:10" x14ac:dyDescent="0.25">
      <c r="A6" s="4" t="s">
        <v>212</v>
      </c>
      <c r="B6" s="4" t="s">
        <v>228</v>
      </c>
      <c r="C6" s="4" t="s">
        <v>201</v>
      </c>
      <c r="D6" s="5">
        <v>5</v>
      </c>
      <c r="E6" s="5" t="s">
        <v>2</v>
      </c>
      <c r="F6" s="5" t="s">
        <v>264</v>
      </c>
      <c r="G6" s="5">
        <v>5</v>
      </c>
      <c r="H6" s="5" t="s">
        <v>7</v>
      </c>
      <c r="I6" s="5" t="str">
        <f t="shared" si="0"/>
        <v>Numbers and their operations : representation and ordering of numbers on the number line</v>
      </c>
      <c r="J6" s="5" t="str">
        <f xml:space="preserve"> B6 &amp; TEXT(D6, "00")</f>
        <v>O105</v>
      </c>
    </row>
    <row r="7" spans="1:10" x14ac:dyDescent="0.25">
      <c r="A7" s="4" t="s">
        <v>212</v>
      </c>
      <c r="B7" s="4" t="s">
        <v>228</v>
      </c>
      <c r="C7" s="4" t="s">
        <v>201</v>
      </c>
      <c r="D7" s="5">
        <v>6</v>
      </c>
      <c r="E7" s="5" t="s">
        <v>2</v>
      </c>
      <c r="F7" s="5" t="s">
        <v>264</v>
      </c>
      <c r="G7" s="5">
        <v>6</v>
      </c>
      <c r="H7" s="5" t="s">
        <v>8</v>
      </c>
      <c r="I7" s="5" t="str">
        <f t="shared" si="0"/>
        <v>Numbers and their operations : use of &lt;, &gt;, ≤, ≥</v>
      </c>
      <c r="J7" s="5" t="str">
        <f xml:space="preserve"> B7 &amp; TEXT(D7, "00")</f>
        <v>O106</v>
      </c>
    </row>
    <row r="8" spans="1:10" x14ac:dyDescent="0.25">
      <c r="A8" s="4" t="s">
        <v>212</v>
      </c>
      <c r="B8" s="4" t="s">
        <v>228</v>
      </c>
      <c r="C8" s="4" t="s">
        <v>201</v>
      </c>
      <c r="D8" s="5">
        <v>7</v>
      </c>
      <c r="E8" s="5" t="s">
        <v>2</v>
      </c>
      <c r="F8" s="5" t="s">
        <v>264</v>
      </c>
      <c r="G8" s="5">
        <v>7</v>
      </c>
      <c r="H8" s="5" t="s">
        <v>9</v>
      </c>
      <c r="I8" s="5" t="str">
        <f t="shared" si="0"/>
        <v>Numbers and their operations : approximation and estimation (including rounding off numbers to a required number of decimal places or significant figures, and estimating the results of computation)</v>
      </c>
      <c r="J8" s="5" t="str">
        <f xml:space="preserve"> B8 &amp; TEXT(D8, "00")</f>
        <v>O107</v>
      </c>
    </row>
    <row r="9" spans="1:10" x14ac:dyDescent="0.25">
      <c r="A9" s="4" t="s">
        <v>212</v>
      </c>
      <c r="B9" s="4" t="s">
        <v>228</v>
      </c>
      <c r="C9" s="4" t="s">
        <v>201</v>
      </c>
      <c r="D9" s="5">
        <v>8</v>
      </c>
      <c r="E9" s="5" t="s">
        <v>10</v>
      </c>
      <c r="F9" s="5" t="s">
        <v>259</v>
      </c>
      <c r="G9" s="5">
        <v>1</v>
      </c>
      <c r="H9" s="5" t="s">
        <v>12</v>
      </c>
      <c r="I9" s="5" t="str">
        <f t="shared" si="0"/>
        <v>Ratio and proportion : ratios involving rational numbers</v>
      </c>
      <c r="J9" s="5" t="str">
        <f xml:space="preserve"> B9 &amp; TEXT(D9, "00")</f>
        <v>O108</v>
      </c>
    </row>
    <row r="10" spans="1:10" x14ac:dyDescent="0.25">
      <c r="A10" s="4" t="s">
        <v>212</v>
      </c>
      <c r="B10" s="4" t="s">
        <v>228</v>
      </c>
      <c r="C10" s="4" t="s">
        <v>201</v>
      </c>
      <c r="D10" s="5">
        <v>9</v>
      </c>
      <c r="E10" s="5" t="s">
        <v>10</v>
      </c>
      <c r="F10" s="5" t="s">
        <v>259</v>
      </c>
      <c r="G10" s="5">
        <v>2</v>
      </c>
      <c r="H10" s="5" t="s">
        <v>14</v>
      </c>
      <c r="I10" s="5" t="str">
        <f t="shared" si="0"/>
        <v>Ratio and proportion : writing a ratio in its simplest form</v>
      </c>
      <c r="J10" s="5" t="str">
        <f xml:space="preserve"> B10 &amp; TEXT(D10, "00")</f>
        <v>O109</v>
      </c>
    </row>
    <row r="11" spans="1:10" x14ac:dyDescent="0.25">
      <c r="A11" s="4" t="s">
        <v>212</v>
      </c>
      <c r="B11" s="4" t="s">
        <v>228</v>
      </c>
      <c r="C11" s="4" t="s">
        <v>201</v>
      </c>
      <c r="D11" s="5">
        <v>10</v>
      </c>
      <c r="E11" s="5" t="s">
        <v>10</v>
      </c>
      <c r="F11" s="5" t="s">
        <v>259</v>
      </c>
      <c r="G11" s="5">
        <v>3</v>
      </c>
      <c r="H11" s="5" t="s">
        <v>15</v>
      </c>
      <c r="I11" s="5" t="str">
        <f t="shared" si="0"/>
        <v>Ratio and proportion : problems involving ratio</v>
      </c>
      <c r="J11" s="5" t="str">
        <f xml:space="preserve"> B11 &amp; TEXT(D11, "00")</f>
        <v>O110</v>
      </c>
    </row>
    <row r="12" spans="1:10" ht="14.4" x14ac:dyDescent="0.3">
      <c r="A12" s="4" t="s">
        <v>212</v>
      </c>
      <c r="B12" s="4" t="s">
        <v>228</v>
      </c>
      <c r="C12" s="4" t="s">
        <v>201</v>
      </c>
      <c r="D12" s="5">
        <v>11</v>
      </c>
      <c r="E12" s="5" t="s">
        <v>16</v>
      </c>
      <c r="F12" s="8" t="s">
        <v>256</v>
      </c>
      <c r="G12" s="5">
        <v>1</v>
      </c>
      <c r="H12" s="5" t="s">
        <v>17</v>
      </c>
      <c r="I12" s="5" t="str">
        <f t="shared" si="0"/>
        <v>Percentage : expressing percentage as a fraction or decimal</v>
      </c>
      <c r="J12" s="5" t="str">
        <f xml:space="preserve"> B12 &amp; TEXT(D12, "00")</f>
        <v>O111</v>
      </c>
    </row>
    <row r="13" spans="1:10" ht="14.4" x14ac:dyDescent="0.3">
      <c r="A13" s="4" t="s">
        <v>212</v>
      </c>
      <c r="B13" s="4" t="s">
        <v>228</v>
      </c>
      <c r="C13" s="4" t="s">
        <v>201</v>
      </c>
      <c r="D13" s="5">
        <v>12</v>
      </c>
      <c r="E13" s="5" t="s">
        <v>16</v>
      </c>
      <c r="F13" s="8" t="s">
        <v>256</v>
      </c>
      <c r="G13" s="5">
        <v>2</v>
      </c>
      <c r="H13" s="5" t="s">
        <v>18</v>
      </c>
      <c r="I13" s="5" t="str">
        <f t="shared" si="0"/>
        <v>Percentage : comparing two quantities by percentage</v>
      </c>
      <c r="J13" s="5" t="str">
        <f xml:space="preserve"> B13 &amp; TEXT(D13, "00")</f>
        <v>O112</v>
      </c>
    </row>
    <row r="14" spans="1:10" ht="14.4" x14ac:dyDescent="0.3">
      <c r="A14" s="4" t="s">
        <v>212</v>
      </c>
      <c r="B14" s="4" t="s">
        <v>228</v>
      </c>
      <c r="C14" s="4" t="s">
        <v>201</v>
      </c>
      <c r="D14" s="5">
        <v>13</v>
      </c>
      <c r="E14" s="5" t="s">
        <v>16</v>
      </c>
      <c r="F14" s="8" t="s">
        <v>256</v>
      </c>
      <c r="G14" s="5">
        <v>3</v>
      </c>
      <c r="H14" s="5" t="s">
        <v>19</v>
      </c>
      <c r="I14" s="5" t="str">
        <f t="shared" si="0"/>
        <v>Percentage : percentages greater than 100%</v>
      </c>
      <c r="J14" s="5" t="str">
        <f xml:space="preserve"> B14 &amp; TEXT(D14, "00")</f>
        <v>O113</v>
      </c>
    </row>
    <row r="15" spans="1:10" ht="14.4" x14ac:dyDescent="0.3">
      <c r="A15" s="4" t="s">
        <v>212</v>
      </c>
      <c r="B15" s="4" t="s">
        <v>228</v>
      </c>
      <c r="C15" s="4" t="s">
        <v>201</v>
      </c>
      <c r="D15" s="5">
        <v>14</v>
      </c>
      <c r="E15" s="5" t="s">
        <v>16</v>
      </c>
      <c r="F15" s="8" t="s">
        <v>256</v>
      </c>
      <c r="G15" s="5">
        <v>4</v>
      </c>
      <c r="H15" s="5" t="s">
        <v>20</v>
      </c>
      <c r="I15" s="5" t="str">
        <f t="shared" si="0"/>
        <v>Percentage : increasing/decreasing a quantity by a given percentage (including concept of percentage point)</v>
      </c>
      <c r="J15" s="5" t="str">
        <f xml:space="preserve"> B15 &amp; TEXT(D15, "00")</f>
        <v>O114</v>
      </c>
    </row>
    <row r="16" spans="1:10" ht="14.4" x14ac:dyDescent="0.3">
      <c r="A16" s="4" t="s">
        <v>212</v>
      </c>
      <c r="B16" s="4" t="s">
        <v>228</v>
      </c>
      <c r="C16" s="4" t="s">
        <v>201</v>
      </c>
      <c r="D16" s="5">
        <v>15</v>
      </c>
      <c r="E16" s="5" t="s">
        <v>16</v>
      </c>
      <c r="F16" s="8" t="s">
        <v>256</v>
      </c>
      <c r="G16" s="5">
        <v>5</v>
      </c>
      <c r="H16" s="5" t="s">
        <v>22</v>
      </c>
      <c r="I16" s="5" t="str">
        <f t="shared" si="0"/>
        <v>Percentage : reverse percentages</v>
      </c>
      <c r="J16" s="5" t="str">
        <f xml:space="preserve"> B16 &amp; TEXT(D16, "00")</f>
        <v>O115</v>
      </c>
    </row>
    <row r="17" spans="1:10" ht="14.4" x14ac:dyDescent="0.3">
      <c r="A17" s="4" t="s">
        <v>212</v>
      </c>
      <c r="B17" s="4" t="s">
        <v>228</v>
      </c>
      <c r="C17" s="4" t="s">
        <v>201</v>
      </c>
      <c r="D17" s="5">
        <v>16</v>
      </c>
      <c r="E17" s="5" t="s">
        <v>16</v>
      </c>
      <c r="F17" s="8" t="s">
        <v>256</v>
      </c>
      <c r="G17" s="5">
        <v>6</v>
      </c>
      <c r="H17" s="5" t="s">
        <v>23</v>
      </c>
      <c r="I17" s="5" t="str">
        <f t="shared" si="0"/>
        <v>Percentage : problems involving percentages</v>
      </c>
      <c r="J17" s="5" t="str">
        <f xml:space="preserve"> B17 &amp; TEXT(D17, "00")</f>
        <v>O116</v>
      </c>
    </row>
    <row r="18" spans="1:10" x14ac:dyDescent="0.25">
      <c r="A18" s="4" t="s">
        <v>212</v>
      </c>
      <c r="B18" s="4" t="s">
        <v>228</v>
      </c>
      <c r="C18" s="4" t="s">
        <v>201</v>
      </c>
      <c r="D18" s="5">
        <v>17</v>
      </c>
      <c r="E18" s="5" t="s">
        <v>24</v>
      </c>
      <c r="F18" s="5" t="s">
        <v>260</v>
      </c>
      <c r="G18" s="5">
        <v>1</v>
      </c>
      <c r="H18" s="5" t="s">
        <v>25</v>
      </c>
      <c r="I18" s="5" t="str">
        <f t="shared" si="0"/>
        <v>Rate and Speed : concepts of average rate, speed, constant speed and average speed</v>
      </c>
      <c r="J18" s="5" t="str">
        <f xml:space="preserve"> B18 &amp; TEXT(D18, "00")</f>
        <v>O117</v>
      </c>
    </row>
    <row r="19" spans="1:10" x14ac:dyDescent="0.25">
      <c r="A19" s="4" t="s">
        <v>212</v>
      </c>
      <c r="B19" s="4" t="s">
        <v>228</v>
      </c>
      <c r="C19" s="4" t="s">
        <v>201</v>
      </c>
      <c r="D19" s="5">
        <v>18</v>
      </c>
      <c r="E19" s="5" t="s">
        <v>24</v>
      </c>
      <c r="F19" s="5" t="s">
        <v>260</v>
      </c>
      <c r="G19" s="5">
        <v>2</v>
      </c>
      <c r="H19" s="5" t="s">
        <v>26</v>
      </c>
      <c r="I19" s="5" t="str">
        <f t="shared" si="0"/>
        <v>Rate and Speed : conversion of units (e.g. km/h to m/s)</v>
      </c>
      <c r="J19" s="5" t="str">
        <f xml:space="preserve"> B19 &amp; TEXT(D19, "00")</f>
        <v>O118</v>
      </c>
    </row>
    <row r="20" spans="1:10" x14ac:dyDescent="0.25">
      <c r="A20" s="4" t="s">
        <v>212</v>
      </c>
      <c r="B20" s="4" t="s">
        <v>228</v>
      </c>
      <c r="C20" s="4" t="s">
        <v>201</v>
      </c>
      <c r="D20" s="5">
        <v>19</v>
      </c>
      <c r="E20" s="5" t="s">
        <v>24</v>
      </c>
      <c r="F20" s="5" t="s">
        <v>260</v>
      </c>
      <c r="G20" s="5">
        <v>3</v>
      </c>
      <c r="H20" s="5" t="s">
        <v>27</v>
      </c>
      <c r="I20" s="5" t="str">
        <f t="shared" si="0"/>
        <v>Rate and Speed : problems involving rate and speed</v>
      </c>
      <c r="J20" s="5" t="str">
        <f xml:space="preserve"> B20 &amp; TEXT(D20, "00")</f>
        <v>O119</v>
      </c>
    </row>
    <row r="21" spans="1:10" x14ac:dyDescent="0.25">
      <c r="A21" s="4" t="s">
        <v>212</v>
      </c>
      <c r="B21" s="4" t="s">
        <v>228</v>
      </c>
      <c r="C21" s="4" t="s">
        <v>201</v>
      </c>
      <c r="D21" s="5">
        <v>20</v>
      </c>
      <c r="E21" s="5" t="s">
        <v>28</v>
      </c>
      <c r="F21" s="5" t="s">
        <v>261</v>
      </c>
      <c r="G21" s="5">
        <v>1</v>
      </c>
      <c r="H21" s="5" t="s">
        <v>29</v>
      </c>
      <c r="I21" s="5" t="str">
        <f t="shared" si="0"/>
        <v>Algebraic expressions and formulae : using letters to represent numbers</v>
      </c>
      <c r="J21" s="5" t="str">
        <f xml:space="preserve"> B21 &amp; TEXT(D21, "00")</f>
        <v>O120</v>
      </c>
    </row>
    <row r="22" spans="1:10" x14ac:dyDescent="0.25">
      <c r="A22" s="4" t="s">
        <v>212</v>
      </c>
      <c r="B22" s="4" t="s">
        <v>228</v>
      </c>
      <c r="C22" s="4" t="s">
        <v>201</v>
      </c>
      <c r="D22" s="5">
        <v>21</v>
      </c>
      <c r="E22" s="5" t="s">
        <v>28</v>
      </c>
      <c r="F22" s="5" t="s">
        <v>261</v>
      </c>
      <c r="G22" s="5">
        <v>2</v>
      </c>
      <c r="H22" s="5" t="s">
        <v>62</v>
      </c>
      <c r="I22" s="5" t="str">
        <f t="shared" si="0"/>
        <v>Algebraic expressions and formulae : interpreting notations: Multiplication, Division, Exponential, Addition and Multiplication, Distributive property, Fractional expressions</v>
      </c>
      <c r="J22" s="5" t="str">
        <f xml:space="preserve"> B22 &amp; TEXT(D22, "00")</f>
        <v>O121</v>
      </c>
    </row>
    <row r="23" spans="1:10" x14ac:dyDescent="0.25">
      <c r="A23" s="4" t="s">
        <v>212</v>
      </c>
      <c r="B23" s="4" t="s">
        <v>228</v>
      </c>
      <c r="C23" s="4" t="s">
        <v>201</v>
      </c>
      <c r="D23" s="5">
        <v>22</v>
      </c>
      <c r="E23" s="5" t="s">
        <v>28</v>
      </c>
      <c r="F23" s="5" t="s">
        <v>261</v>
      </c>
      <c r="G23" s="5">
        <v>3</v>
      </c>
      <c r="H23" s="5" t="s">
        <v>30</v>
      </c>
      <c r="I23" s="5" t="str">
        <f t="shared" si="0"/>
        <v>Algebraic expressions and formulae : evaluation of algebraic expressions and formulae</v>
      </c>
      <c r="J23" s="5" t="str">
        <f xml:space="preserve"> B23 &amp; TEXT(D23, "00")</f>
        <v>O122</v>
      </c>
    </row>
    <row r="24" spans="1:10" x14ac:dyDescent="0.25">
      <c r="A24" s="4" t="s">
        <v>212</v>
      </c>
      <c r="B24" s="4" t="s">
        <v>228</v>
      </c>
      <c r="C24" s="4" t="s">
        <v>201</v>
      </c>
      <c r="D24" s="5">
        <v>23</v>
      </c>
      <c r="E24" s="5" t="s">
        <v>28</v>
      </c>
      <c r="F24" s="5" t="s">
        <v>261</v>
      </c>
      <c r="G24" s="5">
        <v>4</v>
      </c>
      <c r="H24" s="5" t="s">
        <v>31</v>
      </c>
      <c r="I24" s="5" t="str">
        <f t="shared" si="0"/>
        <v>Algebraic expressions and formulae : translation of simple real-world situations into algebraic expressions</v>
      </c>
      <c r="J24" s="5" t="str">
        <f xml:space="preserve"> B24 &amp; TEXT(D24, "00")</f>
        <v>O123</v>
      </c>
    </row>
    <row r="25" spans="1:10" x14ac:dyDescent="0.25">
      <c r="A25" s="4" t="s">
        <v>212</v>
      </c>
      <c r="B25" s="4" t="s">
        <v>228</v>
      </c>
      <c r="C25" s="4" t="s">
        <v>201</v>
      </c>
      <c r="D25" s="5">
        <v>24</v>
      </c>
      <c r="E25" s="5" t="s">
        <v>28</v>
      </c>
      <c r="F25" s="5" t="s">
        <v>261</v>
      </c>
      <c r="G25" s="5">
        <v>5</v>
      </c>
      <c r="H25" s="6" t="s">
        <v>63</v>
      </c>
      <c r="I25" s="5" t="str">
        <f t="shared" si="0"/>
        <v>Algebraic expressions and formulae : recognising and representing patterns/relationships by finding an algebraic expression for the nth term</v>
      </c>
      <c r="J25" s="5" t="str">
        <f xml:space="preserve"> B25 &amp; TEXT(D25, "00")</f>
        <v>O124</v>
      </c>
    </row>
    <row r="26" spans="1:10" x14ac:dyDescent="0.25">
      <c r="A26" s="4" t="s">
        <v>212</v>
      </c>
      <c r="B26" s="4" t="s">
        <v>228</v>
      </c>
      <c r="C26" s="4" t="s">
        <v>201</v>
      </c>
      <c r="D26" s="5">
        <v>25</v>
      </c>
      <c r="E26" s="5" t="s">
        <v>28</v>
      </c>
      <c r="F26" s="5" t="s">
        <v>261</v>
      </c>
      <c r="G26" s="5">
        <v>6</v>
      </c>
      <c r="H26" s="5" t="s">
        <v>32</v>
      </c>
      <c r="I26" s="5" t="str">
        <f t="shared" si="0"/>
        <v>Algebraic expressions and formulae : addition and subtraction of linear expressions</v>
      </c>
      <c r="J26" s="5" t="str">
        <f xml:space="preserve"> B26 &amp; TEXT(D26, "00")</f>
        <v>O125</v>
      </c>
    </row>
    <row r="27" spans="1:10" x14ac:dyDescent="0.25">
      <c r="A27" s="4" t="s">
        <v>212</v>
      </c>
      <c r="B27" s="4" t="s">
        <v>228</v>
      </c>
      <c r="C27" s="4" t="s">
        <v>201</v>
      </c>
      <c r="D27" s="5">
        <v>26</v>
      </c>
      <c r="E27" s="5" t="s">
        <v>28</v>
      </c>
      <c r="F27" s="5" t="s">
        <v>261</v>
      </c>
      <c r="G27" s="5">
        <v>7</v>
      </c>
      <c r="H27" s="5" t="s">
        <v>33</v>
      </c>
      <c r="I27" s="5" t="str">
        <f t="shared" si="0"/>
        <v>Algebraic expressions and formulae : simplification of linear expressions with integral coefficients</v>
      </c>
      <c r="J27" s="5" t="str">
        <f xml:space="preserve"> B27 &amp; TEXT(D27, "00")</f>
        <v>O126</v>
      </c>
    </row>
    <row r="28" spans="1:10" x14ac:dyDescent="0.25">
      <c r="A28" s="4" t="s">
        <v>212</v>
      </c>
      <c r="B28" s="4" t="s">
        <v>228</v>
      </c>
      <c r="C28" s="4" t="s">
        <v>201</v>
      </c>
      <c r="D28" s="5">
        <v>27</v>
      </c>
      <c r="E28" s="5" t="s">
        <v>28</v>
      </c>
      <c r="F28" s="5" t="s">
        <v>261</v>
      </c>
      <c r="G28" s="5">
        <v>8</v>
      </c>
      <c r="H28" s="5" t="s">
        <v>36</v>
      </c>
      <c r="I28" s="5" t="str">
        <f t="shared" si="0"/>
        <v>Algebraic expressions and formulae : use brackets and extract common factors</v>
      </c>
      <c r="J28" s="5" t="str">
        <f xml:space="preserve"> B28 &amp; TEXT(D28, "00")</f>
        <v>O127</v>
      </c>
    </row>
    <row r="29" spans="1:10" x14ac:dyDescent="0.25">
      <c r="A29" s="4" t="s">
        <v>212</v>
      </c>
      <c r="B29" s="4" t="s">
        <v>228</v>
      </c>
      <c r="C29" s="4" t="s">
        <v>201</v>
      </c>
      <c r="D29" s="5">
        <v>33</v>
      </c>
      <c r="E29" s="5" t="s">
        <v>34</v>
      </c>
      <c r="F29" s="5" t="s">
        <v>262</v>
      </c>
      <c r="G29" s="5">
        <v>1</v>
      </c>
      <c r="H29" s="5" t="s">
        <v>37</v>
      </c>
      <c r="I29" s="5" t="str">
        <f t="shared" si="0"/>
        <v>Equations and inequalities : concept of equation</v>
      </c>
      <c r="J29" s="5" t="str">
        <f xml:space="preserve"> B29 &amp; TEXT(D29, "00")</f>
        <v>O133</v>
      </c>
    </row>
    <row r="30" spans="1:10" x14ac:dyDescent="0.25">
      <c r="A30" s="4" t="s">
        <v>212</v>
      </c>
      <c r="B30" s="4" t="s">
        <v>228</v>
      </c>
      <c r="C30" s="4" t="s">
        <v>201</v>
      </c>
      <c r="D30" s="5">
        <v>34</v>
      </c>
      <c r="E30" s="5" t="s">
        <v>34</v>
      </c>
      <c r="F30" s="5" t="s">
        <v>262</v>
      </c>
      <c r="G30" s="5">
        <v>2</v>
      </c>
      <c r="H30" s="5" t="s">
        <v>38</v>
      </c>
      <c r="I30" s="5" t="str">
        <f t="shared" si="0"/>
        <v>Equations and inequalities : solving linear equations in one variable</v>
      </c>
      <c r="J30" s="5" t="str">
        <f xml:space="preserve"> B30 &amp; TEXT(D30, "00")</f>
        <v>O134</v>
      </c>
    </row>
    <row r="31" spans="1:10" x14ac:dyDescent="0.25">
      <c r="A31" s="4" t="s">
        <v>212</v>
      </c>
      <c r="B31" s="4" t="s">
        <v>228</v>
      </c>
      <c r="C31" s="4" t="s">
        <v>201</v>
      </c>
      <c r="D31" s="5">
        <v>35</v>
      </c>
      <c r="E31" s="5" t="s">
        <v>34</v>
      </c>
      <c r="F31" s="5" t="s">
        <v>262</v>
      </c>
      <c r="G31" s="5">
        <v>3</v>
      </c>
      <c r="H31" s="5" t="s">
        <v>39</v>
      </c>
      <c r="I31" s="5" t="str">
        <f t="shared" si="0"/>
        <v>Equations and inequalities : solving simple fractional equations that can be reduced to linear equations</v>
      </c>
      <c r="J31" s="5" t="str">
        <f xml:space="preserve"> B31 &amp; TEXT(D31, "00")</f>
        <v>O135</v>
      </c>
    </row>
    <row r="32" spans="1:10" x14ac:dyDescent="0.25">
      <c r="A32" s="4" t="s">
        <v>212</v>
      </c>
      <c r="B32" s="4" t="s">
        <v>228</v>
      </c>
      <c r="C32" s="4" t="s">
        <v>201</v>
      </c>
      <c r="D32" s="5">
        <v>36</v>
      </c>
      <c r="E32" s="5" t="s">
        <v>34</v>
      </c>
      <c r="F32" s="5" t="s">
        <v>262</v>
      </c>
      <c r="G32" s="5">
        <v>4</v>
      </c>
      <c r="H32" s="5" t="s">
        <v>35</v>
      </c>
      <c r="I32" s="5" t="str">
        <f t="shared" si="0"/>
        <v>Equations and inequalities : formulating a linear equation in one variable to solve problems</v>
      </c>
      <c r="J32" s="5" t="str">
        <f xml:space="preserve"> B32 &amp; TEXT(D32, "00")</f>
        <v>O136</v>
      </c>
    </row>
    <row r="33" spans="1:10" x14ac:dyDescent="0.25">
      <c r="A33" s="4" t="s">
        <v>213</v>
      </c>
      <c r="B33" s="4" t="s">
        <v>229</v>
      </c>
      <c r="C33" s="4" t="s">
        <v>201</v>
      </c>
      <c r="D33" s="5">
        <v>1</v>
      </c>
      <c r="E33" s="5" t="s">
        <v>10</v>
      </c>
      <c r="F33" s="5" t="s">
        <v>259</v>
      </c>
      <c r="G33" s="5">
        <v>1</v>
      </c>
      <c r="H33" s="5" t="s">
        <v>40</v>
      </c>
      <c r="I33" s="5" t="str">
        <f t="shared" si="0"/>
        <v>Ratio and proportion : map scales (distance and area)</v>
      </c>
      <c r="J33" s="5" t="str">
        <f xml:space="preserve"> B33 &amp; TEXT(D33, "00")</f>
        <v>O201</v>
      </c>
    </row>
    <row r="34" spans="1:10" x14ac:dyDescent="0.25">
      <c r="A34" s="4" t="s">
        <v>213</v>
      </c>
      <c r="B34" s="4" t="s">
        <v>229</v>
      </c>
      <c r="C34" s="4" t="s">
        <v>201</v>
      </c>
      <c r="D34" s="5">
        <v>2</v>
      </c>
      <c r="E34" s="5" t="s">
        <v>10</v>
      </c>
      <c r="F34" s="5" t="s">
        <v>259</v>
      </c>
      <c r="G34" s="5">
        <v>2</v>
      </c>
      <c r="H34" s="5" t="s">
        <v>41</v>
      </c>
      <c r="I34" s="5" t="str">
        <f t="shared" si="0"/>
        <v>Ratio and proportion : direct and inverse proportion</v>
      </c>
      <c r="J34" s="5" t="str">
        <f xml:space="preserve"> B34 &amp; TEXT(D34, "00")</f>
        <v>O202</v>
      </c>
    </row>
    <row r="35" spans="1:10" x14ac:dyDescent="0.25">
      <c r="A35" s="4" t="s">
        <v>213</v>
      </c>
      <c r="B35" s="4" t="s">
        <v>229</v>
      </c>
      <c r="C35" s="4" t="s">
        <v>201</v>
      </c>
      <c r="D35" s="5">
        <v>3</v>
      </c>
      <c r="E35" s="5" t="s">
        <v>28</v>
      </c>
      <c r="F35" s="5" t="s">
        <v>261</v>
      </c>
      <c r="G35" s="5">
        <v>1</v>
      </c>
      <c r="H35" s="5" t="s">
        <v>42</v>
      </c>
      <c r="I35" s="5" t="str">
        <f t="shared" si="0"/>
        <v>Algebraic expressions and formulae : expansion of the product of algebraic expressions</v>
      </c>
      <c r="J35" s="5" t="str">
        <f xml:space="preserve"> B35 &amp; TEXT(D35, "00")</f>
        <v>O203</v>
      </c>
    </row>
    <row r="36" spans="1:10" x14ac:dyDescent="0.25">
      <c r="A36" s="4" t="s">
        <v>213</v>
      </c>
      <c r="B36" s="4" t="s">
        <v>229</v>
      </c>
      <c r="C36" s="4" t="s">
        <v>201</v>
      </c>
      <c r="D36" s="5">
        <v>4</v>
      </c>
      <c r="E36" s="5" t="s">
        <v>28</v>
      </c>
      <c r="F36" s="5" t="s">
        <v>261</v>
      </c>
      <c r="G36" s="5">
        <v>2</v>
      </c>
      <c r="H36" s="5" t="s">
        <v>43</v>
      </c>
      <c r="I36" s="5" t="str">
        <f t="shared" si="0"/>
        <v>Algebraic expressions and formulae : changing the subject of a formula</v>
      </c>
      <c r="J36" s="5" t="str">
        <f xml:space="preserve"> B36 &amp; TEXT(D36, "00")</f>
        <v>O204</v>
      </c>
    </row>
    <row r="37" spans="1:10" x14ac:dyDescent="0.25">
      <c r="A37" s="4" t="s">
        <v>213</v>
      </c>
      <c r="B37" s="4" t="s">
        <v>229</v>
      </c>
      <c r="C37" s="4" t="s">
        <v>201</v>
      </c>
      <c r="D37" s="5">
        <v>5</v>
      </c>
      <c r="E37" s="5" t="s">
        <v>28</v>
      </c>
      <c r="F37" s="5" t="s">
        <v>261</v>
      </c>
      <c r="G37" s="5">
        <v>3</v>
      </c>
      <c r="H37" s="5" t="s">
        <v>44</v>
      </c>
      <c r="I37" s="5" t="str">
        <f t="shared" si="0"/>
        <v>Algebraic expressions and formulae : finding the value of an unknown quantity in a given formula</v>
      </c>
      <c r="J37" s="5" t="str">
        <f xml:space="preserve"> B37 &amp; TEXT(D37, "00")</f>
        <v>O205</v>
      </c>
    </row>
    <row r="38" spans="1:10" x14ac:dyDescent="0.25">
      <c r="A38" s="4" t="s">
        <v>213</v>
      </c>
      <c r="B38" s="4" t="s">
        <v>229</v>
      </c>
      <c r="C38" s="4" t="s">
        <v>201</v>
      </c>
      <c r="D38" s="5">
        <v>6</v>
      </c>
      <c r="E38" s="5" t="s">
        <v>28</v>
      </c>
      <c r="F38" s="5" t="s">
        <v>261</v>
      </c>
      <c r="G38" s="5">
        <v>4</v>
      </c>
      <c r="H38" s="5" t="s">
        <v>45</v>
      </c>
      <c r="I38" s="5" t="str">
        <f t="shared" si="0"/>
        <v>Algebraic expressions and formulae : first 3 algebraic idendities</v>
      </c>
      <c r="J38" s="5" t="str">
        <f xml:space="preserve"> B38 &amp; TEXT(D38, "00")</f>
        <v>O206</v>
      </c>
    </row>
    <row r="39" spans="1:10" x14ac:dyDescent="0.25">
      <c r="A39" s="4" t="s">
        <v>213</v>
      </c>
      <c r="B39" s="4" t="s">
        <v>229</v>
      </c>
      <c r="C39" s="4" t="s">
        <v>201</v>
      </c>
      <c r="D39" s="5">
        <v>7</v>
      </c>
      <c r="E39" s="5" t="s">
        <v>28</v>
      </c>
      <c r="F39" s="5" t="s">
        <v>261</v>
      </c>
      <c r="G39" s="5">
        <v>5</v>
      </c>
      <c r="H39" s="5" t="s">
        <v>46</v>
      </c>
      <c r="I39" s="5" t="str">
        <f t="shared" si="0"/>
        <v>Algebraic expressions and formulae : factorisation of linear expressions of the form 𝑎𝑥 + 𝑏𝑥 + 𝑘𝑎𝑦 +𝑘𝑏𝑦</v>
      </c>
      <c r="J39" s="5" t="str">
        <f xml:space="preserve"> B39 &amp; TEXT(D39, "00")</f>
        <v>O207</v>
      </c>
    </row>
    <row r="40" spans="1:10" x14ac:dyDescent="0.25">
      <c r="A40" s="4" t="s">
        <v>213</v>
      </c>
      <c r="B40" s="4" t="s">
        <v>229</v>
      </c>
      <c r="C40" s="4" t="s">
        <v>201</v>
      </c>
      <c r="D40" s="5">
        <v>8</v>
      </c>
      <c r="E40" s="5" t="s">
        <v>28</v>
      </c>
      <c r="F40" s="5" t="s">
        <v>261</v>
      </c>
      <c r="G40" s="5">
        <v>6</v>
      </c>
      <c r="H40" s="5" t="s">
        <v>47</v>
      </c>
      <c r="I40" s="5" t="str">
        <f t="shared" si="0"/>
        <v xml:space="preserve">Algebraic expressions and formulae : factorisation of quadratic expressions </v>
      </c>
      <c r="J40" s="5" t="str">
        <f xml:space="preserve"> B40 &amp; TEXT(D40, "00")</f>
        <v>O208</v>
      </c>
    </row>
    <row r="41" spans="1:10" x14ac:dyDescent="0.25">
      <c r="A41" s="4" t="s">
        <v>213</v>
      </c>
      <c r="B41" s="4" t="s">
        <v>229</v>
      </c>
      <c r="C41" s="4" t="s">
        <v>201</v>
      </c>
      <c r="D41" s="5">
        <v>9</v>
      </c>
      <c r="E41" s="5" t="s">
        <v>28</v>
      </c>
      <c r="F41" s="5" t="s">
        <v>261</v>
      </c>
      <c r="G41" s="5">
        <v>7</v>
      </c>
      <c r="H41" s="5" t="s">
        <v>48</v>
      </c>
      <c r="I41" s="5" t="str">
        <f t="shared" si="0"/>
        <v>Algebraic expressions and formulae : multiplication and division of simple algebraic fractions</v>
      </c>
      <c r="J41" s="5" t="str">
        <f xml:space="preserve"> B41 &amp; TEXT(D41, "00")</f>
        <v>O209</v>
      </c>
    </row>
    <row r="42" spans="1:10" x14ac:dyDescent="0.25">
      <c r="A42" s="4" t="s">
        <v>213</v>
      </c>
      <c r="B42" s="4" t="s">
        <v>229</v>
      </c>
      <c r="C42" s="4" t="s">
        <v>201</v>
      </c>
      <c r="D42" s="5">
        <v>10</v>
      </c>
      <c r="E42" s="5" t="s">
        <v>28</v>
      </c>
      <c r="F42" s="5" t="s">
        <v>261</v>
      </c>
      <c r="G42" s="5">
        <v>8</v>
      </c>
      <c r="H42" s="5" t="s">
        <v>60</v>
      </c>
      <c r="I42" s="5" t="str">
        <f t="shared" si="0"/>
        <v>Algebraic expressions and formulae : addition and subtraction of algebraic fractions with linear or quadratic denominator</v>
      </c>
      <c r="J42" s="5" t="str">
        <f xml:space="preserve"> B42 &amp; TEXT(D42, "00")</f>
        <v>O210</v>
      </c>
    </row>
    <row r="43" spans="1:10" x14ac:dyDescent="0.25">
      <c r="A43" s="4" t="s">
        <v>213</v>
      </c>
      <c r="B43" s="4" t="s">
        <v>229</v>
      </c>
      <c r="C43" s="4" t="s">
        <v>201</v>
      </c>
      <c r="D43" s="5">
        <v>13</v>
      </c>
      <c r="E43" s="5" t="s">
        <v>34</v>
      </c>
      <c r="F43" s="5" t="s">
        <v>262</v>
      </c>
      <c r="G43" s="5">
        <v>1</v>
      </c>
      <c r="H43" s="5" t="s">
        <v>49</v>
      </c>
      <c r="I43" s="5" t="str">
        <f t="shared" si="0"/>
        <v>Equations and inequalities : concept of equation and inequality</v>
      </c>
      <c r="J43" s="5" t="str">
        <f xml:space="preserve"> B43 &amp; TEXT(D43, "00")</f>
        <v>O213</v>
      </c>
    </row>
    <row r="44" spans="1:10" x14ac:dyDescent="0.25">
      <c r="A44" s="4" t="s">
        <v>213</v>
      </c>
      <c r="B44" s="4" t="s">
        <v>229</v>
      </c>
      <c r="C44" s="4" t="s">
        <v>201</v>
      </c>
      <c r="D44" s="5">
        <v>14</v>
      </c>
      <c r="E44" s="5" t="s">
        <v>34</v>
      </c>
      <c r="F44" s="5" t="s">
        <v>262</v>
      </c>
      <c r="G44" s="5">
        <v>2</v>
      </c>
      <c r="H44" s="5" t="s">
        <v>61</v>
      </c>
      <c r="I44" s="5" t="str">
        <f t="shared" si="0"/>
        <v>Equations and inequalities : solving simple inequalities in the form ax + b &lt;= c and ax + b &lt; c and representing the solutions on the number line</v>
      </c>
      <c r="J44" s="5" t="str">
        <f xml:space="preserve"> B44 &amp; TEXT(D44, "00")</f>
        <v>O214</v>
      </c>
    </row>
    <row r="45" spans="1:10" x14ac:dyDescent="0.25">
      <c r="A45" s="4" t="s">
        <v>213</v>
      </c>
      <c r="B45" s="4" t="s">
        <v>229</v>
      </c>
      <c r="C45" s="4" t="s">
        <v>201</v>
      </c>
      <c r="D45" s="5">
        <v>15</v>
      </c>
      <c r="E45" s="5" t="s">
        <v>34</v>
      </c>
      <c r="F45" s="5" t="s">
        <v>262</v>
      </c>
      <c r="G45" s="5">
        <v>3</v>
      </c>
      <c r="H45" s="5" t="s">
        <v>50</v>
      </c>
      <c r="I45" s="5" t="str">
        <f t="shared" si="0"/>
        <v>Equations and inequalities : graphs of linear equations in two variables (𝑎𝑥 + 𝑏𝑦 = 𝑐)</v>
      </c>
      <c r="J45" s="5" t="str">
        <f xml:space="preserve"> B45 &amp; TEXT(D45, "00")</f>
        <v>O215</v>
      </c>
    </row>
    <row r="46" spans="1:10" x14ac:dyDescent="0.25">
      <c r="A46" s="4" t="s">
        <v>213</v>
      </c>
      <c r="B46" s="4" t="s">
        <v>229</v>
      </c>
      <c r="C46" s="4" t="s">
        <v>201</v>
      </c>
      <c r="D46" s="5">
        <v>16</v>
      </c>
      <c r="E46" s="5" t="s">
        <v>34</v>
      </c>
      <c r="F46" s="5" t="s">
        <v>262</v>
      </c>
      <c r="G46" s="5">
        <v>4</v>
      </c>
      <c r="H46" s="5" t="s">
        <v>198</v>
      </c>
      <c r="I46" s="5" t="str">
        <f t="shared" si="0"/>
        <v>Equations and inequalities : solving simultaneous linear equations in two variables by substitution and elimination methods, by graphical method</v>
      </c>
      <c r="J46" s="5" t="str">
        <f xml:space="preserve"> B46 &amp; TEXT(D46, "00")</f>
        <v>O216</v>
      </c>
    </row>
    <row r="47" spans="1:10" x14ac:dyDescent="0.25">
      <c r="A47" s="4" t="s">
        <v>213</v>
      </c>
      <c r="B47" s="4" t="s">
        <v>229</v>
      </c>
      <c r="C47" s="4" t="s">
        <v>201</v>
      </c>
      <c r="D47" s="5">
        <v>17</v>
      </c>
      <c r="E47" s="5" t="s">
        <v>34</v>
      </c>
      <c r="F47" s="5" t="s">
        <v>262</v>
      </c>
      <c r="G47" s="5">
        <v>5</v>
      </c>
      <c r="H47" s="5" t="s">
        <v>51</v>
      </c>
      <c r="I47" s="5" t="str">
        <f t="shared" si="0"/>
        <v>Equations and inequalities : solving quadratic equations in one variable by factorisation</v>
      </c>
      <c r="J47" s="5" t="str">
        <f xml:space="preserve"> B47 &amp; TEXT(D47, "00")</f>
        <v>O217</v>
      </c>
    </row>
    <row r="48" spans="1:10" x14ac:dyDescent="0.25">
      <c r="A48" s="4" t="s">
        <v>213</v>
      </c>
      <c r="B48" s="4" t="s">
        <v>229</v>
      </c>
      <c r="C48" s="4" t="s">
        <v>201</v>
      </c>
      <c r="D48" s="5">
        <v>18</v>
      </c>
      <c r="E48" s="5" t="s">
        <v>34</v>
      </c>
      <c r="F48" s="5" t="s">
        <v>262</v>
      </c>
      <c r="G48" s="5">
        <v>6</v>
      </c>
      <c r="H48" s="5" t="s">
        <v>52</v>
      </c>
      <c r="I48" s="5" t="str">
        <f t="shared" si="0"/>
        <v>Equations and inequalities : formulating a pair of linear equations in two variables to solve problems</v>
      </c>
      <c r="J48" s="5" t="str">
        <f xml:space="preserve"> B48 &amp; TEXT(D48, "00")</f>
        <v>O218</v>
      </c>
    </row>
    <row r="49" spans="1:10" x14ac:dyDescent="0.25">
      <c r="A49" s="4" t="s">
        <v>213</v>
      </c>
      <c r="B49" s="4" t="s">
        <v>229</v>
      </c>
      <c r="C49" s="5" t="s">
        <v>204</v>
      </c>
      <c r="D49" s="5">
        <v>25</v>
      </c>
      <c r="E49" s="5" t="s">
        <v>205</v>
      </c>
      <c r="F49" s="5" t="s">
        <v>263</v>
      </c>
      <c r="G49" s="5">
        <v>1</v>
      </c>
      <c r="H49" s="5" t="s">
        <v>206</v>
      </c>
      <c r="I49" s="5" t="str">
        <f t="shared" si="0"/>
        <v xml:space="preserve">Probability : probability as a measure of chance </v>
      </c>
      <c r="J49" s="5" t="str">
        <f xml:space="preserve"> B49 &amp; TEXT(D49, "00")</f>
        <v>O225</v>
      </c>
    </row>
    <row r="50" spans="1:10" x14ac:dyDescent="0.25">
      <c r="A50" s="4" t="s">
        <v>213</v>
      </c>
      <c r="B50" s="4" t="s">
        <v>229</v>
      </c>
      <c r="C50" s="5" t="s">
        <v>204</v>
      </c>
      <c r="D50" s="5">
        <v>26</v>
      </c>
      <c r="E50" s="5" t="s">
        <v>205</v>
      </c>
      <c r="F50" s="5" t="s">
        <v>263</v>
      </c>
      <c r="G50" s="5">
        <v>2</v>
      </c>
      <c r="H50" s="5" t="s">
        <v>207</v>
      </c>
      <c r="I50" s="5" t="str">
        <f t="shared" ref="I50:I58" si="1">E50&amp;" : "&amp;H50</f>
        <v>Probability : probability of single events (including listing all the possible outcomes in a simple chance situation to calculate the probability)</v>
      </c>
      <c r="J50" s="5" t="str">
        <f xml:space="preserve"> B50 &amp; TEXT(D50, "00")</f>
        <v>O226</v>
      </c>
    </row>
    <row r="51" spans="1:10" x14ac:dyDescent="0.25">
      <c r="A51" s="4" t="s">
        <v>214</v>
      </c>
      <c r="B51" s="4" t="s">
        <v>230</v>
      </c>
      <c r="C51" s="4" t="s">
        <v>201</v>
      </c>
      <c r="D51" s="5">
        <v>1</v>
      </c>
      <c r="E51" s="5" t="s">
        <v>53</v>
      </c>
      <c r="F51" s="5" t="s">
        <v>264</v>
      </c>
      <c r="G51" s="5">
        <v>1</v>
      </c>
      <c r="H51" s="5" t="s">
        <v>54</v>
      </c>
      <c r="I51" s="5" t="str">
        <f t="shared" si="1"/>
        <v>Numbers and their operations  : use of standard form Ax10^n , where n is an integer, and 1&lt;= A&lt;= 10</v>
      </c>
      <c r="J51" s="5" t="str">
        <f xml:space="preserve"> B51 &amp; TEXT(D51, "00")</f>
        <v>O301</v>
      </c>
    </row>
    <row r="52" spans="1:10" x14ac:dyDescent="0.25">
      <c r="A52" s="4" t="s">
        <v>214</v>
      </c>
      <c r="B52" s="4" t="s">
        <v>230</v>
      </c>
      <c r="C52" s="4" t="s">
        <v>201</v>
      </c>
      <c r="D52" s="5">
        <v>2</v>
      </c>
      <c r="E52" s="5" t="s">
        <v>53</v>
      </c>
      <c r="F52" s="5" t="s">
        <v>264</v>
      </c>
      <c r="G52" s="5">
        <v>2</v>
      </c>
      <c r="H52" s="5" t="s">
        <v>55</v>
      </c>
      <c r="I52" s="5" t="str">
        <f t="shared" si="1"/>
        <v>Numbers and their operations  : positive, negative, zero and fractional indices</v>
      </c>
      <c r="J52" s="5" t="str">
        <f xml:space="preserve"> B52 &amp; TEXT(D52, "00")</f>
        <v>O302</v>
      </c>
    </row>
    <row r="53" spans="1:10" x14ac:dyDescent="0.25">
      <c r="A53" s="4" t="s">
        <v>214</v>
      </c>
      <c r="B53" s="4" t="s">
        <v>230</v>
      </c>
      <c r="C53" s="4" t="s">
        <v>201</v>
      </c>
      <c r="D53" s="5">
        <v>3</v>
      </c>
      <c r="E53" s="5" t="s">
        <v>53</v>
      </c>
      <c r="F53" s="5" t="s">
        <v>264</v>
      </c>
      <c r="G53" s="5">
        <v>3</v>
      </c>
      <c r="H53" s="5" t="s">
        <v>56</v>
      </c>
      <c r="I53" s="5" t="str">
        <f t="shared" si="1"/>
        <v>Numbers and their operations  : laws of indices</v>
      </c>
      <c r="J53" s="5" t="str">
        <f xml:space="preserve"> B53 &amp; TEXT(D53, "00")</f>
        <v>O303</v>
      </c>
    </row>
    <row r="54" spans="1:10" x14ac:dyDescent="0.25">
      <c r="A54" s="4" t="s">
        <v>214</v>
      </c>
      <c r="B54" s="4" t="s">
        <v>230</v>
      </c>
      <c r="C54" s="4" t="s">
        <v>201</v>
      </c>
      <c r="D54" s="5">
        <v>8</v>
      </c>
      <c r="E54" s="5" t="s">
        <v>34</v>
      </c>
      <c r="F54" s="5" t="s">
        <v>262</v>
      </c>
      <c r="G54" s="5">
        <v>1</v>
      </c>
      <c r="H54" s="5" t="s">
        <v>199</v>
      </c>
      <c r="I54" s="5" t="str">
        <f t="shared" si="1"/>
        <v>Equations and inequalities : solving quadratic equations in one variable by use of formula, by completing the square for y = x^2+px+q, by graphical method</v>
      </c>
      <c r="J54" s="5" t="str">
        <f xml:space="preserve"> B54 &amp; TEXT(D54, "00")</f>
        <v>O308</v>
      </c>
    </row>
    <row r="55" spans="1:10" x14ac:dyDescent="0.25">
      <c r="A55" s="4" t="s">
        <v>214</v>
      </c>
      <c r="B55" s="4" t="s">
        <v>230</v>
      </c>
      <c r="C55" s="4" t="s">
        <v>201</v>
      </c>
      <c r="D55" s="5">
        <v>9</v>
      </c>
      <c r="E55" s="5" t="s">
        <v>34</v>
      </c>
      <c r="F55" s="5" t="s">
        <v>262</v>
      </c>
      <c r="G55" s="5">
        <v>2</v>
      </c>
      <c r="H55" s="5" t="s">
        <v>57</v>
      </c>
      <c r="I55" s="5" t="str">
        <f t="shared" si="1"/>
        <v>Equations and inequalities : solving fractional equations that can be reduced to quadratic equations</v>
      </c>
      <c r="J55" s="5" t="str">
        <f xml:space="preserve"> B55 &amp; TEXT(D55, "00")</f>
        <v>O309</v>
      </c>
    </row>
    <row r="56" spans="1:10" x14ac:dyDescent="0.25">
      <c r="A56" s="4" t="s">
        <v>214</v>
      </c>
      <c r="B56" s="4" t="s">
        <v>230</v>
      </c>
      <c r="C56" s="4" t="s">
        <v>201</v>
      </c>
      <c r="D56" s="5">
        <v>10</v>
      </c>
      <c r="E56" s="5" t="s">
        <v>34</v>
      </c>
      <c r="F56" s="5" t="s">
        <v>262</v>
      </c>
      <c r="G56" s="5">
        <v>3</v>
      </c>
      <c r="H56" s="5" t="s">
        <v>58</v>
      </c>
      <c r="I56" s="5" t="str">
        <f t="shared" si="1"/>
        <v>Equations and inequalities : solving linear inequalities in one variable (including simultaneous inequalities) and representing the solution on the number line</v>
      </c>
      <c r="J56" s="5" t="str">
        <f xml:space="preserve"> B56 &amp; TEXT(D56, "00")</f>
        <v>O310</v>
      </c>
    </row>
    <row r="57" spans="1:10" x14ac:dyDescent="0.25">
      <c r="A57" s="4" t="s">
        <v>214</v>
      </c>
      <c r="B57" s="4" t="s">
        <v>230</v>
      </c>
      <c r="C57" s="4" t="s">
        <v>201</v>
      </c>
      <c r="D57" s="5">
        <v>11</v>
      </c>
      <c r="E57" s="5" t="s">
        <v>34</v>
      </c>
      <c r="F57" s="5" t="s">
        <v>262</v>
      </c>
      <c r="G57" s="5">
        <v>4</v>
      </c>
      <c r="H57" s="5" t="s">
        <v>59</v>
      </c>
      <c r="I57" s="5" t="str">
        <f t="shared" si="1"/>
        <v>Equations and inequalities : formulating a quadratic equation in one variable to solve problems</v>
      </c>
      <c r="J57" s="5" t="str">
        <f xml:space="preserve"> B57 &amp; TEXT(D57, "00")</f>
        <v>O311</v>
      </c>
    </row>
    <row r="58" spans="1:10" x14ac:dyDescent="0.25">
      <c r="A58" s="4" t="s">
        <v>214</v>
      </c>
      <c r="B58" s="4" t="s">
        <v>230</v>
      </c>
      <c r="C58" s="5" t="s">
        <v>204</v>
      </c>
      <c r="D58" s="5">
        <v>25</v>
      </c>
      <c r="E58" s="5" t="s">
        <v>205</v>
      </c>
      <c r="F58" s="5" t="s">
        <v>263</v>
      </c>
      <c r="G58" s="5">
        <v>1</v>
      </c>
      <c r="H58" s="5" t="s">
        <v>208</v>
      </c>
      <c r="I58" s="5" t="str">
        <f t="shared" si="1"/>
        <v>Probability : probability of simple combined events (including using possibility diagrams and tree diagrams, where appropriate)</v>
      </c>
      <c r="J58" s="5" t="str">
        <f xml:space="preserve"> B58 &amp; TEXT(D58, "00")</f>
        <v>O325</v>
      </c>
    </row>
    <row r="59" spans="1:10" x14ac:dyDescent="0.25">
      <c r="A59" s="4" t="s">
        <v>214</v>
      </c>
      <c r="B59" s="4" t="s">
        <v>230</v>
      </c>
      <c r="C59" s="5" t="s">
        <v>204</v>
      </c>
      <c r="D59" s="5">
        <v>26</v>
      </c>
      <c r="E59" s="5" t="s">
        <v>205</v>
      </c>
      <c r="F59" s="5" t="s">
        <v>263</v>
      </c>
      <c r="G59" s="5">
        <v>2</v>
      </c>
      <c r="H59" s="5" t="s">
        <v>209</v>
      </c>
      <c r="I59" s="5" t="str">
        <f>E59&amp;" : "&amp;H59</f>
        <v>Probability : addition and multiplication of probabilities (mutually exclusive events and independent events)</v>
      </c>
      <c r="J59" s="5" t="str">
        <f xml:space="preserve"> B59 &amp; TEXT(D59, "00")</f>
        <v>O326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9D9E-E88E-421F-BAA7-63E3ADBA93AF}">
  <dimension ref="A1:F180"/>
  <sheetViews>
    <sheetView tabSelected="1" workbookViewId="0">
      <selection activeCell="H20" sqref="H20"/>
    </sheetView>
  </sheetViews>
  <sheetFormatPr defaultRowHeight="14.4" x14ac:dyDescent="0.3"/>
  <cols>
    <col min="1" max="1" width="18.8984375" style="11" bestFit="1" customWidth="1"/>
    <col min="2" max="2" width="9.8984375" style="11" bestFit="1" customWidth="1"/>
    <col min="3" max="3" width="28" style="11" bestFit="1" customWidth="1"/>
    <col min="4" max="4" width="6.5" style="11" bestFit="1" customWidth="1"/>
    <col min="5" max="5" width="30.296875" style="11" bestFit="1" customWidth="1"/>
    <col min="6" max="6" width="14.3984375" style="11" bestFit="1" customWidth="1"/>
    <col min="7" max="16384" width="8.796875" style="11"/>
  </cols>
  <sheetData>
    <row r="1" spans="1:6" ht="18" x14ac:dyDescent="0.35">
      <c r="A1" s="10" t="s">
        <v>0</v>
      </c>
      <c r="B1" s="10" t="s">
        <v>221</v>
      </c>
      <c r="C1" s="10" t="s">
        <v>210</v>
      </c>
      <c r="D1" s="10" t="s">
        <v>1</v>
      </c>
      <c r="E1" s="10" t="s">
        <v>202</v>
      </c>
      <c r="F1" s="10" t="s">
        <v>233</v>
      </c>
    </row>
    <row r="2" spans="1:6" x14ac:dyDescent="0.3">
      <c r="A2" s="12" t="s">
        <v>215</v>
      </c>
      <c r="B2" s="12" t="s">
        <v>222</v>
      </c>
      <c r="C2" s="12" t="s">
        <v>64</v>
      </c>
      <c r="D2" s="12">
        <v>1</v>
      </c>
      <c r="E2" s="12" t="s">
        <v>65</v>
      </c>
      <c r="F2" s="12" t="s">
        <v>234</v>
      </c>
    </row>
    <row r="3" spans="1:6" x14ac:dyDescent="0.3">
      <c r="A3" s="12" t="s">
        <v>215</v>
      </c>
      <c r="B3" s="12" t="s">
        <v>222</v>
      </c>
      <c r="C3" s="12" t="s">
        <v>64</v>
      </c>
      <c r="D3" s="12">
        <v>8</v>
      </c>
      <c r="E3" s="12" t="s">
        <v>73</v>
      </c>
      <c r="F3" s="12" t="s">
        <v>236</v>
      </c>
    </row>
    <row r="4" spans="1:6" x14ac:dyDescent="0.3">
      <c r="A4" s="12" t="s">
        <v>215</v>
      </c>
      <c r="B4" s="12" t="s">
        <v>222</v>
      </c>
      <c r="C4" s="12" t="s">
        <v>64</v>
      </c>
      <c r="D4" s="12">
        <v>15</v>
      </c>
      <c r="E4" s="12" t="s">
        <v>81</v>
      </c>
      <c r="F4" s="12" t="s">
        <v>237</v>
      </c>
    </row>
    <row r="5" spans="1:6" x14ac:dyDescent="0.3">
      <c r="A5" s="12" t="s">
        <v>215</v>
      </c>
      <c r="B5" s="12" t="s">
        <v>222</v>
      </c>
      <c r="C5" s="12" t="s">
        <v>86</v>
      </c>
      <c r="D5" s="12">
        <v>19</v>
      </c>
      <c r="E5" s="12" t="s">
        <v>87</v>
      </c>
      <c r="F5" s="12" t="s">
        <v>87</v>
      </c>
    </row>
    <row r="6" spans="1:6" x14ac:dyDescent="0.3">
      <c r="A6" s="12" t="s">
        <v>216</v>
      </c>
      <c r="B6" s="12" t="s">
        <v>223</v>
      </c>
      <c r="C6" s="12" t="s">
        <v>64</v>
      </c>
      <c r="D6" s="12">
        <v>1</v>
      </c>
      <c r="E6" s="12" t="s">
        <v>89</v>
      </c>
      <c r="F6" s="12" t="s">
        <v>235</v>
      </c>
    </row>
    <row r="7" spans="1:6" x14ac:dyDescent="0.3">
      <c r="A7" s="12" t="s">
        <v>216</v>
      </c>
      <c r="B7" s="12" t="s">
        <v>223</v>
      </c>
      <c r="C7" s="12" t="s">
        <v>100</v>
      </c>
      <c r="D7" s="12">
        <v>14</v>
      </c>
      <c r="E7" s="12" t="s">
        <v>101</v>
      </c>
      <c r="F7" s="12" t="s">
        <v>247</v>
      </c>
    </row>
    <row r="8" spans="1:6" x14ac:dyDescent="0.3">
      <c r="A8" s="12" t="s">
        <v>216</v>
      </c>
      <c r="B8" s="12" t="s">
        <v>223</v>
      </c>
      <c r="C8" s="12" t="s">
        <v>100</v>
      </c>
      <c r="D8" s="12">
        <v>17</v>
      </c>
      <c r="E8" s="12" t="s">
        <v>73</v>
      </c>
      <c r="F8" s="12" t="s">
        <v>239</v>
      </c>
    </row>
    <row r="9" spans="1:6" x14ac:dyDescent="0.3">
      <c r="A9" s="12" t="s">
        <v>217</v>
      </c>
      <c r="B9" s="12" t="s">
        <v>224</v>
      </c>
      <c r="C9" s="12" t="s">
        <v>64</v>
      </c>
      <c r="D9" s="12">
        <v>1</v>
      </c>
      <c r="E9" s="12" t="s">
        <v>110</v>
      </c>
      <c r="F9" s="12" t="s">
        <v>240</v>
      </c>
    </row>
    <row r="10" spans="1:6" x14ac:dyDescent="0.3">
      <c r="A10" s="12" t="s">
        <v>217</v>
      </c>
      <c r="B10" s="12" t="s">
        <v>224</v>
      </c>
      <c r="C10" s="12" t="s">
        <v>100</v>
      </c>
      <c r="D10" s="12">
        <v>13</v>
      </c>
      <c r="E10" s="12" t="s">
        <v>119</v>
      </c>
      <c r="F10" s="12" t="s">
        <v>241</v>
      </c>
    </row>
    <row r="11" spans="1:6" x14ac:dyDescent="0.3">
      <c r="A11" s="12" t="s">
        <v>218</v>
      </c>
      <c r="B11" s="12" t="s">
        <v>225</v>
      </c>
      <c r="C11" s="12" t="s">
        <v>64</v>
      </c>
      <c r="D11" s="12">
        <v>1</v>
      </c>
      <c r="E11" s="12" t="s">
        <v>126</v>
      </c>
      <c r="F11" s="12" t="s">
        <v>242</v>
      </c>
    </row>
    <row r="12" spans="1:6" x14ac:dyDescent="0.3">
      <c r="A12" s="12" t="s">
        <v>218</v>
      </c>
      <c r="B12" s="12" t="s">
        <v>225</v>
      </c>
      <c r="C12" s="12" t="s">
        <v>64</v>
      </c>
      <c r="D12" s="12">
        <v>7</v>
      </c>
      <c r="E12" s="12" t="s">
        <v>129</v>
      </c>
      <c r="F12" s="12" t="s">
        <v>243</v>
      </c>
    </row>
    <row r="13" spans="1:6" x14ac:dyDescent="0.3">
      <c r="A13" s="12" t="s">
        <v>218</v>
      </c>
      <c r="B13" s="12" t="s">
        <v>225</v>
      </c>
      <c r="C13" s="12" t="s">
        <v>64</v>
      </c>
      <c r="D13" s="12">
        <v>12</v>
      </c>
      <c r="E13" s="12" t="s">
        <v>135</v>
      </c>
      <c r="F13" s="12" t="s">
        <v>244</v>
      </c>
    </row>
    <row r="14" spans="1:6" x14ac:dyDescent="0.3">
      <c r="A14" s="12" t="s">
        <v>218</v>
      </c>
      <c r="B14" s="12" t="s">
        <v>225</v>
      </c>
      <c r="C14" s="12" t="s">
        <v>100</v>
      </c>
      <c r="D14" s="12">
        <v>14</v>
      </c>
      <c r="E14" s="12" t="s">
        <v>138</v>
      </c>
      <c r="F14" s="12" t="s">
        <v>245</v>
      </c>
    </row>
    <row r="15" spans="1:6" x14ac:dyDescent="0.3">
      <c r="A15" s="12" t="s">
        <v>218</v>
      </c>
      <c r="B15" s="12" t="s">
        <v>225</v>
      </c>
      <c r="C15" s="12" t="s">
        <v>100</v>
      </c>
      <c r="D15" s="12">
        <v>15</v>
      </c>
      <c r="E15" s="12" t="s">
        <v>140</v>
      </c>
      <c r="F15" s="12" t="s">
        <v>246</v>
      </c>
    </row>
    <row r="16" spans="1:6" x14ac:dyDescent="0.3">
      <c r="A16" s="12" t="s">
        <v>218</v>
      </c>
      <c r="B16" s="12" t="s">
        <v>225</v>
      </c>
      <c r="C16" s="12" t="s">
        <v>144</v>
      </c>
      <c r="D16" s="12">
        <v>18</v>
      </c>
      <c r="E16" s="12" t="s">
        <v>145</v>
      </c>
      <c r="F16" s="12" t="s">
        <v>248</v>
      </c>
    </row>
    <row r="17" spans="1:6" x14ac:dyDescent="0.3">
      <c r="A17" s="12" t="s">
        <v>218</v>
      </c>
      <c r="B17" s="12" t="s">
        <v>225</v>
      </c>
      <c r="C17" s="12" t="s">
        <v>144</v>
      </c>
      <c r="D17" s="12">
        <v>23</v>
      </c>
      <c r="E17" s="12" t="s">
        <v>73</v>
      </c>
      <c r="F17" s="12" t="s">
        <v>249</v>
      </c>
    </row>
    <row r="18" spans="1:6" x14ac:dyDescent="0.3">
      <c r="A18" s="12" t="s">
        <v>218</v>
      </c>
      <c r="B18" s="12" t="s">
        <v>225</v>
      </c>
      <c r="C18" s="12" t="s">
        <v>144</v>
      </c>
      <c r="D18" s="12">
        <v>24</v>
      </c>
      <c r="E18" s="12" t="s">
        <v>81</v>
      </c>
      <c r="F18" s="12" t="s">
        <v>250</v>
      </c>
    </row>
    <row r="19" spans="1:6" x14ac:dyDescent="0.3">
      <c r="A19" s="12" t="s">
        <v>219</v>
      </c>
      <c r="B19" s="12" t="s">
        <v>226</v>
      </c>
      <c r="C19" s="12" t="s">
        <v>64</v>
      </c>
      <c r="D19" s="12">
        <v>1</v>
      </c>
      <c r="E19" s="12" t="s">
        <v>155</v>
      </c>
      <c r="F19" s="12" t="s">
        <v>251</v>
      </c>
    </row>
    <row r="20" spans="1:6" x14ac:dyDescent="0.3">
      <c r="A20" s="12" t="s">
        <v>219</v>
      </c>
      <c r="B20" s="12" t="s">
        <v>226</v>
      </c>
      <c r="C20" s="12" t="s">
        <v>100</v>
      </c>
      <c r="D20" s="12">
        <v>5</v>
      </c>
      <c r="E20" s="12" t="s">
        <v>160</v>
      </c>
      <c r="F20" s="12" t="s">
        <v>252</v>
      </c>
    </row>
    <row r="21" spans="1:6" x14ac:dyDescent="0.3">
      <c r="A21" s="12" t="s">
        <v>219</v>
      </c>
      <c r="B21" s="12" t="s">
        <v>226</v>
      </c>
      <c r="C21" s="12" t="s">
        <v>100</v>
      </c>
      <c r="D21" s="12">
        <v>7</v>
      </c>
      <c r="E21" s="12" t="s">
        <v>135</v>
      </c>
      <c r="F21" s="12" t="s">
        <v>253</v>
      </c>
    </row>
    <row r="22" spans="1:6" x14ac:dyDescent="0.3">
      <c r="A22" s="12" t="s">
        <v>219</v>
      </c>
      <c r="B22" s="12" t="s">
        <v>226</v>
      </c>
      <c r="C22" s="12" t="s">
        <v>144</v>
      </c>
      <c r="D22" s="12">
        <v>13</v>
      </c>
      <c r="E22" s="12" t="s">
        <v>135</v>
      </c>
      <c r="F22" s="12" t="s">
        <v>254</v>
      </c>
    </row>
    <row r="23" spans="1:6" x14ac:dyDescent="0.3">
      <c r="A23" s="12" t="s">
        <v>219</v>
      </c>
      <c r="B23" s="12" t="s">
        <v>226</v>
      </c>
      <c r="C23" s="12" t="s">
        <v>171</v>
      </c>
      <c r="D23" s="12">
        <v>15</v>
      </c>
      <c r="E23" s="12" t="s">
        <v>16</v>
      </c>
      <c r="F23" s="12" t="s">
        <v>256</v>
      </c>
    </row>
    <row r="24" spans="1:6" x14ac:dyDescent="0.3">
      <c r="A24" s="12" t="s">
        <v>219</v>
      </c>
      <c r="B24" s="12" t="s">
        <v>226</v>
      </c>
      <c r="C24" s="12" t="s">
        <v>176</v>
      </c>
      <c r="D24" s="12">
        <v>19</v>
      </c>
      <c r="E24" s="12" t="s">
        <v>177</v>
      </c>
      <c r="F24" s="12" t="s">
        <v>255</v>
      </c>
    </row>
    <row r="25" spans="1:6" x14ac:dyDescent="0.3">
      <c r="A25" s="12" t="s">
        <v>220</v>
      </c>
      <c r="B25" s="12" t="s">
        <v>227</v>
      </c>
      <c r="C25" s="12" t="s">
        <v>184</v>
      </c>
      <c r="D25" s="12">
        <v>6</v>
      </c>
      <c r="E25" s="12" t="s">
        <v>185</v>
      </c>
      <c r="F25" s="12" t="s">
        <v>257</v>
      </c>
    </row>
    <row r="26" spans="1:6" x14ac:dyDescent="0.3">
      <c r="A26" s="12" t="s">
        <v>220</v>
      </c>
      <c r="B26" s="12" t="s">
        <v>227</v>
      </c>
      <c r="C26" s="12" t="s">
        <v>191</v>
      </c>
      <c r="D26" s="12">
        <v>13</v>
      </c>
      <c r="E26" s="12" t="s">
        <v>192</v>
      </c>
      <c r="F26" s="12" t="s">
        <v>258</v>
      </c>
    </row>
    <row r="27" spans="1:6" x14ac:dyDescent="0.3">
      <c r="A27" s="13" t="s">
        <v>212</v>
      </c>
      <c r="B27" s="13" t="s">
        <v>228</v>
      </c>
      <c r="C27" s="13" t="s">
        <v>201</v>
      </c>
      <c r="D27" s="14">
        <v>1</v>
      </c>
      <c r="E27" s="14" t="s">
        <v>2</v>
      </c>
      <c r="F27" s="14" t="s">
        <v>264</v>
      </c>
    </row>
    <row r="28" spans="1:6" x14ac:dyDescent="0.3">
      <c r="A28" s="13" t="s">
        <v>212</v>
      </c>
      <c r="B28" s="13" t="s">
        <v>228</v>
      </c>
      <c r="C28" s="13" t="s">
        <v>201</v>
      </c>
      <c r="D28" s="14">
        <v>8</v>
      </c>
      <c r="E28" s="14" t="s">
        <v>10</v>
      </c>
      <c r="F28" s="14" t="s">
        <v>259</v>
      </c>
    </row>
    <row r="29" spans="1:6" x14ac:dyDescent="0.3">
      <c r="A29" s="13" t="s">
        <v>212</v>
      </c>
      <c r="B29" s="13" t="s">
        <v>228</v>
      </c>
      <c r="C29" s="13" t="s">
        <v>201</v>
      </c>
      <c r="D29" s="14">
        <v>17</v>
      </c>
      <c r="E29" s="14" t="s">
        <v>24</v>
      </c>
      <c r="F29" s="14" t="s">
        <v>260</v>
      </c>
    </row>
    <row r="30" spans="1:6" x14ac:dyDescent="0.3">
      <c r="A30" s="13" t="s">
        <v>212</v>
      </c>
      <c r="B30" s="13" t="s">
        <v>228</v>
      </c>
      <c r="C30" s="13" t="s">
        <v>201</v>
      </c>
      <c r="D30" s="14">
        <v>20</v>
      </c>
      <c r="E30" s="14" t="s">
        <v>28</v>
      </c>
      <c r="F30" s="14" t="s">
        <v>261</v>
      </c>
    </row>
    <row r="31" spans="1:6" x14ac:dyDescent="0.3">
      <c r="A31" s="13" t="s">
        <v>212</v>
      </c>
      <c r="B31" s="13" t="s">
        <v>228</v>
      </c>
      <c r="C31" s="13" t="s">
        <v>201</v>
      </c>
      <c r="D31" s="14">
        <v>33</v>
      </c>
      <c r="E31" s="14" t="s">
        <v>34</v>
      </c>
      <c r="F31" s="14" t="s">
        <v>262</v>
      </c>
    </row>
    <row r="32" spans="1:6" x14ac:dyDescent="0.3">
      <c r="A32" s="13" t="s">
        <v>213</v>
      </c>
      <c r="B32" s="13" t="s">
        <v>229</v>
      </c>
      <c r="C32" s="14" t="s">
        <v>204</v>
      </c>
      <c r="D32" s="14">
        <v>25</v>
      </c>
      <c r="E32" s="14" t="s">
        <v>205</v>
      </c>
      <c r="F32" s="14" t="s">
        <v>263</v>
      </c>
    </row>
    <row r="33" spans="1:6" x14ac:dyDescent="0.3">
      <c r="A33" s="13" t="s">
        <v>214</v>
      </c>
      <c r="B33" s="13" t="s">
        <v>230</v>
      </c>
      <c r="C33" s="13" t="s">
        <v>201</v>
      </c>
      <c r="D33" s="14">
        <v>1</v>
      </c>
      <c r="E33" s="14" t="s">
        <v>53</v>
      </c>
      <c r="F33" s="14" t="s">
        <v>264</v>
      </c>
    </row>
    <row r="34" spans="1:6" x14ac:dyDescent="0.3">
      <c r="A34"/>
      <c r="B34"/>
      <c r="C34"/>
      <c r="D34"/>
      <c r="E34"/>
      <c r="F34"/>
    </row>
    <row r="35" spans="1:6" x14ac:dyDescent="0.3">
      <c r="A35"/>
      <c r="B35"/>
      <c r="C35"/>
      <c r="D35"/>
      <c r="E35"/>
      <c r="F35"/>
    </row>
    <row r="36" spans="1:6" x14ac:dyDescent="0.3">
      <c r="A36"/>
      <c r="B36"/>
      <c r="C36"/>
      <c r="D36"/>
      <c r="E36"/>
      <c r="F36"/>
    </row>
    <row r="37" spans="1:6" x14ac:dyDescent="0.3">
      <c r="A37"/>
      <c r="B37"/>
      <c r="C37"/>
      <c r="D37"/>
      <c r="E37"/>
      <c r="F37"/>
    </row>
    <row r="38" spans="1:6" x14ac:dyDescent="0.3">
      <c r="A38"/>
      <c r="B38"/>
      <c r="C38"/>
      <c r="D38"/>
      <c r="E38"/>
      <c r="F38"/>
    </row>
    <row r="39" spans="1:6" x14ac:dyDescent="0.3">
      <c r="A39"/>
      <c r="B39"/>
      <c r="C39"/>
      <c r="D39"/>
      <c r="E39"/>
      <c r="F39"/>
    </row>
    <row r="40" spans="1:6" x14ac:dyDescent="0.3">
      <c r="A40"/>
      <c r="B40"/>
      <c r="C40"/>
      <c r="D40"/>
      <c r="E40"/>
      <c r="F40"/>
    </row>
    <row r="41" spans="1:6" x14ac:dyDescent="0.3">
      <c r="A41"/>
      <c r="B41"/>
      <c r="C41"/>
      <c r="D41"/>
      <c r="E41"/>
      <c r="F41"/>
    </row>
    <row r="42" spans="1:6" x14ac:dyDescent="0.3">
      <c r="A42"/>
      <c r="B42"/>
      <c r="C42"/>
      <c r="D42"/>
      <c r="E42"/>
      <c r="F42"/>
    </row>
    <row r="43" spans="1:6" x14ac:dyDescent="0.3">
      <c r="A43"/>
      <c r="B43"/>
      <c r="C43"/>
      <c r="D43"/>
      <c r="E43"/>
      <c r="F43"/>
    </row>
    <row r="44" spans="1:6" x14ac:dyDescent="0.3">
      <c r="A44"/>
      <c r="B44"/>
      <c r="C44"/>
      <c r="D44"/>
      <c r="E44"/>
      <c r="F44"/>
    </row>
    <row r="45" spans="1:6" x14ac:dyDescent="0.3">
      <c r="A45"/>
      <c r="B45"/>
      <c r="C45"/>
      <c r="D45"/>
      <c r="E45"/>
      <c r="F45"/>
    </row>
    <row r="46" spans="1:6" x14ac:dyDescent="0.3">
      <c r="A46"/>
      <c r="B46"/>
      <c r="C46"/>
      <c r="D46"/>
      <c r="E46"/>
      <c r="F46"/>
    </row>
    <row r="47" spans="1:6" x14ac:dyDescent="0.3">
      <c r="A47"/>
      <c r="B47"/>
      <c r="C47"/>
      <c r="D47"/>
      <c r="E47"/>
      <c r="F47"/>
    </row>
    <row r="48" spans="1:6" x14ac:dyDescent="0.3">
      <c r="A48"/>
      <c r="B48"/>
      <c r="C48"/>
      <c r="D48"/>
      <c r="E48"/>
      <c r="F48"/>
    </row>
    <row r="49" spans="1:6" x14ac:dyDescent="0.3">
      <c r="A49"/>
      <c r="B49"/>
      <c r="C49"/>
      <c r="D49"/>
      <c r="E49"/>
      <c r="F49"/>
    </row>
    <row r="50" spans="1:6" x14ac:dyDescent="0.3">
      <c r="A50"/>
      <c r="B50"/>
      <c r="C50"/>
      <c r="D50"/>
      <c r="E50"/>
      <c r="F50"/>
    </row>
    <row r="51" spans="1:6" x14ac:dyDescent="0.3">
      <c r="A51"/>
      <c r="B51"/>
      <c r="C51"/>
      <c r="D51"/>
      <c r="E51"/>
      <c r="F51"/>
    </row>
    <row r="52" spans="1:6" x14ac:dyDescent="0.3">
      <c r="A52"/>
      <c r="B52"/>
      <c r="C52"/>
      <c r="D52"/>
      <c r="E52"/>
      <c r="F52"/>
    </row>
    <row r="53" spans="1:6" x14ac:dyDescent="0.3">
      <c r="A53"/>
      <c r="B53"/>
      <c r="C53"/>
      <c r="D53"/>
      <c r="E53"/>
      <c r="F53"/>
    </row>
    <row r="54" spans="1:6" x14ac:dyDescent="0.3">
      <c r="A54"/>
      <c r="B54"/>
      <c r="C54"/>
      <c r="D54"/>
      <c r="E54"/>
      <c r="F54"/>
    </row>
    <row r="55" spans="1:6" x14ac:dyDescent="0.3">
      <c r="A55"/>
      <c r="B55"/>
      <c r="C55"/>
      <c r="D55"/>
      <c r="E55"/>
      <c r="F55"/>
    </row>
    <row r="56" spans="1:6" x14ac:dyDescent="0.3">
      <c r="A56"/>
      <c r="B56"/>
      <c r="C56"/>
      <c r="D56"/>
      <c r="E56"/>
      <c r="F56"/>
    </row>
    <row r="57" spans="1:6" x14ac:dyDescent="0.3">
      <c r="A57"/>
      <c r="B57"/>
      <c r="C57"/>
      <c r="D57"/>
      <c r="E57"/>
      <c r="F57"/>
    </row>
    <row r="58" spans="1:6" x14ac:dyDescent="0.3">
      <c r="A58"/>
      <c r="B58"/>
      <c r="C58"/>
      <c r="D58"/>
      <c r="E58"/>
      <c r="F58"/>
    </row>
    <row r="59" spans="1:6" x14ac:dyDescent="0.3">
      <c r="A59"/>
      <c r="B59"/>
      <c r="C59"/>
      <c r="D59"/>
      <c r="E59"/>
      <c r="F59"/>
    </row>
    <row r="60" spans="1:6" x14ac:dyDescent="0.3">
      <c r="A60"/>
      <c r="B60"/>
      <c r="C60"/>
      <c r="D60"/>
      <c r="E60"/>
      <c r="F60"/>
    </row>
    <row r="61" spans="1:6" x14ac:dyDescent="0.3">
      <c r="A61"/>
      <c r="B61"/>
      <c r="C61"/>
      <c r="D61"/>
      <c r="E61"/>
      <c r="F61"/>
    </row>
    <row r="62" spans="1:6" x14ac:dyDescent="0.3">
      <c r="A62"/>
      <c r="B62"/>
      <c r="C62"/>
      <c r="D62"/>
      <c r="E62"/>
      <c r="F62"/>
    </row>
    <row r="63" spans="1:6" x14ac:dyDescent="0.3">
      <c r="A63"/>
      <c r="B63"/>
      <c r="C63"/>
      <c r="D63"/>
      <c r="E63"/>
      <c r="F63"/>
    </row>
    <row r="64" spans="1:6" x14ac:dyDescent="0.3">
      <c r="A64"/>
      <c r="B64"/>
      <c r="C64"/>
      <c r="D64"/>
      <c r="E64"/>
      <c r="F64"/>
    </row>
    <row r="65" spans="1:6" x14ac:dyDescent="0.3">
      <c r="A65"/>
      <c r="B65"/>
      <c r="C65"/>
      <c r="D65"/>
      <c r="E65"/>
      <c r="F65"/>
    </row>
    <row r="66" spans="1:6" x14ac:dyDescent="0.3">
      <c r="A66"/>
      <c r="B66"/>
      <c r="C66"/>
      <c r="D66"/>
      <c r="E66"/>
      <c r="F66"/>
    </row>
    <row r="67" spans="1:6" x14ac:dyDescent="0.3">
      <c r="A67"/>
      <c r="B67"/>
      <c r="C67"/>
      <c r="D67"/>
      <c r="E67"/>
      <c r="F67"/>
    </row>
    <row r="68" spans="1:6" x14ac:dyDescent="0.3">
      <c r="A68"/>
      <c r="B68"/>
      <c r="C68"/>
      <c r="D68"/>
      <c r="E68"/>
      <c r="F68"/>
    </row>
    <row r="69" spans="1:6" x14ac:dyDescent="0.3">
      <c r="A69"/>
      <c r="B69"/>
      <c r="C69"/>
      <c r="D69"/>
      <c r="E69"/>
      <c r="F69"/>
    </row>
    <row r="70" spans="1:6" x14ac:dyDescent="0.3">
      <c r="A70"/>
      <c r="B70"/>
      <c r="C70"/>
      <c r="D70"/>
      <c r="E70"/>
      <c r="F70"/>
    </row>
    <row r="71" spans="1:6" x14ac:dyDescent="0.3">
      <c r="A71"/>
      <c r="B71"/>
      <c r="C71"/>
      <c r="D71"/>
      <c r="E71"/>
      <c r="F71"/>
    </row>
    <row r="72" spans="1:6" x14ac:dyDescent="0.3">
      <c r="A72"/>
      <c r="B72"/>
      <c r="C72"/>
      <c r="D72"/>
      <c r="E72"/>
      <c r="F72"/>
    </row>
    <row r="73" spans="1:6" x14ac:dyDescent="0.3">
      <c r="A73"/>
      <c r="B73"/>
      <c r="C73"/>
      <c r="D73"/>
      <c r="E73"/>
      <c r="F73"/>
    </row>
    <row r="74" spans="1:6" x14ac:dyDescent="0.3">
      <c r="A74"/>
      <c r="B74"/>
      <c r="C74"/>
      <c r="D74"/>
      <c r="E74"/>
      <c r="F74"/>
    </row>
    <row r="75" spans="1:6" x14ac:dyDescent="0.3">
      <c r="A75"/>
      <c r="B75"/>
      <c r="C75"/>
      <c r="D75"/>
      <c r="E75"/>
      <c r="F75"/>
    </row>
    <row r="76" spans="1:6" x14ac:dyDescent="0.3">
      <c r="A76"/>
      <c r="B76"/>
      <c r="C76"/>
      <c r="D76"/>
      <c r="E76"/>
      <c r="F76"/>
    </row>
    <row r="77" spans="1:6" x14ac:dyDescent="0.3">
      <c r="A77"/>
      <c r="B77"/>
      <c r="C77"/>
      <c r="D77"/>
      <c r="E77"/>
      <c r="F77"/>
    </row>
    <row r="78" spans="1:6" x14ac:dyDescent="0.3">
      <c r="A78"/>
      <c r="B78"/>
      <c r="C78"/>
      <c r="D78"/>
      <c r="E78"/>
      <c r="F78"/>
    </row>
    <row r="79" spans="1:6" x14ac:dyDescent="0.3">
      <c r="A79"/>
      <c r="B79"/>
      <c r="C79"/>
      <c r="D79"/>
      <c r="E79"/>
      <c r="F79"/>
    </row>
    <row r="80" spans="1:6" x14ac:dyDescent="0.3">
      <c r="A80"/>
      <c r="B80"/>
      <c r="C80"/>
      <c r="D80"/>
      <c r="E80"/>
      <c r="F80"/>
    </row>
    <row r="81" spans="1:6" x14ac:dyDescent="0.3">
      <c r="A81"/>
      <c r="B81"/>
      <c r="C81"/>
      <c r="D81"/>
      <c r="E81"/>
      <c r="F81"/>
    </row>
    <row r="82" spans="1:6" x14ac:dyDescent="0.3">
      <c r="A82"/>
      <c r="B82"/>
      <c r="C82"/>
      <c r="D82"/>
      <c r="E82"/>
      <c r="F82"/>
    </row>
    <row r="83" spans="1:6" x14ac:dyDescent="0.3">
      <c r="A83"/>
      <c r="B83"/>
      <c r="C83"/>
      <c r="D83"/>
      <c r="E83"/>
      <c r="F83"/>
    </row>
    <row r="84" spans="1:6" x14ac:dyDescent="0.3">
      <c r="A84"/>
      <c r="B84"/>
      <c r="C84"/>
      <c r="D84"/>
      <c r="E84"/>
      <c r="F84"/>
    </row>
    <row r="85" spans="1:6" x14ac:dyDescent="0.3">
      <c r="A85"/>
      <c r="B85"/>
      <c r="C85"/>
      <c r="D85"/>
      <c r="E85"/>
      <c r="F85"/>
    </row>
    <row r="86" spans="1:6" x14ac:dyDescent="0.3">
      <c r="A86"/>
      <c r="B86"/>
      <c r="C86"/>
      <c r="D86"/>
      <c r="E86"/>
      <c r="F86"/>
    </row>
    <row r="87" spans="1:6" x14ac:dyDescent="0.3">
      <c r="A87"/>
      <c r="B87"/>
      <c r="C87"/>
      <c r="D87"/>
      <c r="E87"/>
      <c r="F87"/>
    </row>
    <row r="88" spans="1:6" x14ac:dyDescent="0.3">
      <c r="A88"/>
      <c r="B88"/>
      <c r="C88"/>
      <c r="D88"/>
      <c r="E88"/>
      <c r="F88"/>
    </row>
    <row r="89" spans="1:6" x14ac:dyDescent="0.3">
      <c r="A89"/>
      <c r="B89"/>
      <c r="C89"/>
      <c r="D89"/>
      <c r="E89"/>
      <c r="F89"/>
    </row>
    <row r="90" spans="1:6" x14ac:dyDescent="0.3">
      <c r="A90"/>
      <c r="B90"/>
      <c r="C90"/>
      <c r="D90"/>
      <c r="E90"/>
      <c r="F90"/>
    </row>
    <row r="91" spans="1:6" x14ac:dyDescent="0.3">
      <c r="A91"/>
      <c r="B91"/>
      <c r="C91"/>
      <c r="D91"/>
      <c r="E91"/>
      <c r="F91"/>
    </row>
    <row r="92" spans="1:6" x14ac:dyDescent="0.3">
      <c r="A92"/>
      <c r="B92"/>
      <c r="C92"/>
      <c r="D92"/>
      <c r="E92"/>
      <c r="F92"/>
    </row>
    <row r="93" spans="1:6" x14ac:dyDescent="0.3">
      <c r="A93"/>
      <c r="B93"/>
      <c r="C93"/>
      <c r="D93"/>
      <c r="E93"/>
      <c r="F93"/>
    </row>
    <row r="94" spans="1:6" x14ac:dyDescent="0.3">
      <c r="A94"/>
      <c r="B94"/>
      <c r="C94"/>
      <c r="D94"/>
      <c r="E94"/>
      <c r="F94"/>
    </row>
    <row r="95" spans="1:6" x14ac:dyDescent="0.3">
      <c r="A95"/>
      <c r="B95"/>
      <c r="C95"/>
      <c r="D95"/>
      <c r="E95"/>
      <c r="F95"/>
    </row>
    <row r="96" spans="1:6" x14ac:dyDescent="0.3">
      <c r="A96"/>
      <c r="B96"/>
      <c r="C96"/>
      <c r="D96"/>
      <c r="E96"/>
      <c r="F96"/>
    </row>
    <row r="97" spans="1:6" x14ac:dyDescent="0.3">
      <c r="A97"/>
      <c r="B97"/>
      <c r="C97"/>
      <c r="D97"/>
      <c r="E97"/>
      <c r="F97"/>
    </row>
    <row r="98" spans="1:6" x14ac:dyDescent="0.3">
      <c r="A98"/>
      <c r="B98"/>
      <c r="C98"/>
      <c r="D98"/>
      <c r="E98"/>
      <c r="F98"/>
    </row>
    <row r="99" spans="1:6" x14ac:dyDescent="0.3">
      <c r="A99"/>
      <c r="B99"/>
      <c r="C99"/>
      <c r="D99"/>
      <c r="E99"/>
      <c r="F99"/>
    </row>
    <row r="100" spans="1:6" x14ac:dyDescent="0.3">
      <c r="A100"/>
      <c r="B100"/>
      <c r="C100"/>
      <c r="D100"/>
      <c r="E100"/>
      <c r="F100"/>
    </row>
    <row r="101" spans="1:6" x14ac:dyDescent="0.3">
      <c r="A101"/>
      <c r="B101"/>
      <c r="C101"/>
      <c r="D101"/>
      <c r="E101"/>
      <c r="F101"/>
    </row>
    <row r="102" spans="1:6" x14ac:dyDescent="0.3">
      <c r="A102"/>
      <c r="B102"/>
      <c r="C102"/>
      <c r="D102"/>
      <c r="E102"/>
      <c r="F102"/>
    </row>
    <row r="103" spans="1:6" x14ac:dyDescent="0.3">
      <c r="A103"/>
      <c r="B103"/>
      <c r="C103"/>
      <c r="D103"/>
      <c r="E103"/>
      <c r="F103"/>
    </row>
    <row r="104" spans="1:6" x14ac:dyDescent="0.3">
      <c r="A104"/>
      <c r="B104"/>
      <c r="C104"/>
      <c r="D104"/>
      <c r="E104"/>
      <c r="F104"/>
    </row>
    <row r="105" spans="1:6" x14ac:dyDescent="0.3">
      <c r="A105"/>
      <c r="B105"/>
      <c r="C105"/>
      <c r="D105"/>
      <c r="E105"/>
      <c r="F105"/>
    </row>
    <row r="106" spans="1:6" x14ac:dyDescent="0.3">
      <c r="A106"/>
      <c r="B106"/>
      <c r="C106"/>
      <c r="D106"/>
      <c r="E106"/>
      <c r="F106"/>
    </row>
    <row r="107" spans="1:6" x14ac:dyDescent="0.3">
      <c r="A107"/>
      <c r="B107"/>
      <c r="C107"/>
      <c r="D107"/>
      <c r="E107"/>
      <c r="F107"/>
    </row>
    <row r="108" spans="1:6" x14ac:dyDescent="0.3">
      <c r="A108"/>
      <c r="B108"/>
      <c r="C108"/>
      <c r="D108"/>
      <c r="E108"/>
      <c r="F108"/>
    </row>
    <row r="109" spans="1:6" x14ac:dyDescent="0.3">
      <c r="A109"/>
      <c r="B109"/>
      <c r="C109"/>
      <c r="D109"/>
      <c r="E109"/>
      <c r="F109"/>
    </row>
    <row r="110" spans="1:6" x14ac:dyDescent="0.3">
      <c r="A110"/>
      <c r="B110"/>
      <c r="C110"/>
      <c r="D110"/>
      <c r="E110"/>
      <c r="F110"/>
    </row>
    <row r="111" spans="1:6" x14ac:dyDescent="0.3">
      <c r="A111"/>
      <c r="B111"/>
      <c r="C111"/>
      <c r="D111"/>
      <c r="E111"/>
      <c r="F111"/>
    </row>
    <row r="112" spans="1:6" x14ac:dyDescent="0.3">
      <c r="A112"/>
      <c r="B112"/>
      <c r="C112"/>
      <c r="D112"/>
      <c r="E112"/>
      <c r="F112"/>
    </row>
    <row r="113" spans="1:6" x14ac:dyDescent="0.3">
      <c r="A113"/>
      <c r="B113"/>
      <c r="C113"/>
      <c r="D113"/>
      <c r="E113"/>
      <c r="F113"/>
    </row>
    <row r="114" spans="1:6" x14ac:dyDescent="0.3">
      <c r="A114"/>
      <c r="B114"/>
      <c r="C114"/>
      <c r="D114"/>
      <c r="E114"/>
      <c r="F114"/>
    </row>
    <row r="115" spans="1:6" x14ac:dyDescent="0.3">
      <c r="A115"/>
      <c r="B115"/>
      <c r="C115"/>
      <c r="D115"/>
      <c r="E115"/>
      <c r="F115"/>
    </row>
    <row r="116" spans="1:6" x14ac:dyDescent="0.3">
      <c r="A116"/>
      <c r="B116"/>
      <c r="C116"/>
      <c r="D116"/>
      <c r="E116"/>
      <c r="F116"/>
    </row>
    <row r="117" spans="1:6" x14ac:dyDescent="0.3">
      <c r="A117"/>
      <c r="B117"/>
      <c r="C117"/>
      <c r="D117"/>
      <c r="E117"/>
      <c r="F117"/>
    </row>
    <row r="118" spans="1:6" x14ac:dyDescent="0.3">
      <c r="A118"/>
      <c r="B118"/>
      <c r="C118"/>
      <c r="D118"/>
      <c r="E118"/>
      <c r="F118"/>
    </row>
    <row r="119" spans="1:6" x14ac:dyDescent="0.3">
      <c r="A119"/>
      <c r="B119"/>
      <c r="C119"/>
      <c r="D119"/>
      <c r="E119"/>
      <c r="F119"/>
    </row>
    <row r="120" spans="1:6" x14ac:dyDescent="0.3">
      <c r="A120"/>
      <c r="B120"/>
      <c r="C120"/>
      <c r="D120"/>
      <c r="E120"/>
      <c r="F120"/>
    </row>
    <row r="121" spans="1:6" x14ac:dyDescent="0.3">
      <c r="A121"/>
      <c r="B121"/>
      <c r="C121"/>
      <c r="D121"/>
      <c r="E121"/>
      <c r="F121"/>
    </row>
    <row r="122" spans="1:6" x14ac:dyDescent="0.3">
      <c r="A122"/>
      <c r="B122"/>
      <c r="C122"/>
      <c r="D122"/>
      <c r="E122"/>
      <c r="F122"/>
    </row>
    <row r="123" spans="1:6" x14ac:dyDescent="0.3">
      <c r="A123"/>
      <c r="B123"/>
      <c r="C123"/>
      <c r="D123"/>
      <c r="E123"/>
      <c r="F123"/>
    </row>
    <row r="124" spans="1:6" x14ac:dyDescent="0.3">
      <c r="A124"/>
      <c r="B124"/>
      <c r="C124"/>
      <c r="D124"/>
      <c r="E124"/>
      <c r="F124"/>
    </row>
    <row r="125" spans="1:6" x14ac:dyDescent="0.3">
      <c r="A125"/>
      <c r="B125"/>
      <c r="C125"/>
      <c r="D125"/>
      <c r="E125"/>
      <c r="F125"/>
    </row>
    <row r="126" spans="1:6" x14ac:dyDescent="0.3">
      <c r="A126"/>
      <c r="B126"/>
      <c r="C126"/>
      <c r="D126"/>
      <c r="E126"/>
      <c r="F126"/>
    </row>
    <row r="127" spans="1:6" x14ac:dyDescent="0.3">
      <c r="A127"/>
      <c r="B127"/>
      <c r="C127"/>
      <c r="D127"/>
      <c r="E127"/>
      <c r="F127"/>
    </row>
    <row r="128" spans="1:6" x14ac:dyDescent="0.3">
      <c r="A128"/>
      <c r="B128"/>
      <c r="C128"/>
      <c r="D128"/>
      <c r="E128"/>
      <c r="F128"/>
    </row>
    <row r="129" spans="1:6" x14ac:dyDescent="0.3">
      <c r="A129"/>
      <c r="B129"/>
      <c r="C129"/>
      <c r="D129"/>
      <c r="E129"/>
      <c r="F129"/>
    </row>
    <row r="130" spans="1:6" x14ac:dyDescent="0.3">
      <c r="A130"/>
      <c r="B130"/>
      <c r="C130"/>
      <c r="D130"/>
      <c r="E130"/>
      <c r="F130"/>
    </row>
    <row r="131" spans="1:6" x14ac:dyDescent="0.3">
      <c r="A131"/>
      <c r="B131"/>
      <c r="C131"/>
      <c r="D131"/>
      <c r="E131"/>
      <c r="F131"/>
    </row>
    <row r="132" spans="1:6" x14ac:dyDescent="0.3">
      <c r="A132"/>
      <c r="B132"/>
      <c r="C132"/>
      <c r="D132"/>
      <c r="E132"/>
      <c r="F132"/>
    </row>
    <row r="133" spans="1:6" x14ac:dyDescent="0.3">
      <c r="A133"/>
      <c r="B133"/>
      <c r="C133"/>
      <c r="D133"/>
      <c r="E133"/>
      <c r="F133"/>
    </row>
    <row r="134" spans="1:6" x14ac:dyDescent="0.3">
      <c r="A134"/>
      <c r="B134"/>
      <c r="C134"/>
      <c r="D134"/>
      <c r="E134"/>
      <c r="F134"/>
    </row>
    <row r="135" spans="1:6" x14ac:dyDescent="0.3">
      <c r="A135"/>
      <c r="B135"/>
      <c r="C135"/>
      <c r="D135"/>
      <c r="E135"/>
      <c r="F135"/>
    </row>
    <row r="136" spans="1:6" x14ac:dyDescent="0.3">
      <c r="A136"/>
      <c r="B136"/>
      <c r="C136"/>
      <c r="D136"/>
      <c r="E136"/>
      <c r="F136"/>
    </row>
    <row r="137" spans="1:6" x14ac:dyDescent="0.3">
      <c r="A137"/>
      <c r="B137"/>
      <c r="C137"/>
      <c r="D137"/>
      <c r="E137"/>
      <c r="F137"/>
    </row>
    <row r="138" spans="1:6" x14ac:dyDescent="0.3">
      <c r="A138"/>
      <c r="B138"/>
      <c r="C138"/>
      <c r="D138"/>
      <c r="E138"/>
      <c r="F138"/>
    </row>
    <row r="139" spans="1:6" x14ac:dyDescent="0.3">
      <c r="A139"/>
      <c r="B139"/>
      <c r="C139"/>
      <c r="D139"/>
      <c r="E139"/>
      <c r="F139"/>
    </row>
    <row r="140" spans="1:6" x14ac:dyDescent="0.3">
      <c r="A140"/>
      <c r="B140"/>
      <c r="C140"/>
      <c r="D140"/>
      <c r="E140"/>
      <c r="F140"/>
    </row>
    <row r="141" spans="1:6" x14ac:dyDescent="0.3">
      <c r="A141"/>
      <c r="B141"/>
      <c r="C141"/>
      <c r="D141"/>
      <c r="E141"/>
      <c r="F141"/>
    </row>
    <row r="142" spans="1:6" x14ac:dyDescent="0.3">
      <c r="A142"/>
      <c r="B142"/>
      <c r="C142"/>
      <c r="D142"/>
      <c r="E142"/>
      <c r="F142"/>
    </row>
    <row r="143" spans="1:6" x14ac:dyDescent="0.3">
      <c r="A143"/>
      <c r="B143"/>
      <c r="C143"/>
      <c r="D143"/>
      <c r="E143"/>
      <c r="F143"/>
    </row>
    <row r="144" spans="1:6" x14ac:dyDescent="0.3">
      <c r="A144"/>
      <c r="B144"/>
      <c r="C144"/>
      <c r="D144"/>
      <c r="E144"/>
      <c r="F144"/>
    </row>
    <row r="145" spans="1:6" x14ac:dyDescent="0.3">
      <c r="A145"/>
      <c r="B145"/>
      <c r="C145"/>
      <c r="D145"/>
      <c r="E145"/>
      <c r="F145"/>
    </row>
    <row r="146" spans="1:6" x14ac:dyDescent="0.3">
      <c r="A146"/>
      <c r="B146"/>
      <c r="C146"/>
      <c r="D146"/>
      <c r="E146"/>
      <c r="F146"/>
    </row>
    <row r="147" spans="1:6" x14ac:dyDescent="0.3">
      <c r="A147"/>
      <c r="B147"/>
      <c r="C147"/>
      <c r="D147"/>
      <c r="E147"/>
      <c r="F147"/>
    </row>
    <row r="148" spans="1:6" x14ac:dyDescent="0.3">
      <c r="A148"/>
      <c r="B148"/>
      <c r="C148"/>
      <c r="D148"/>
      <c r="E148"/>
      <c r="F148"/>
    </row>
    <row r="149" spans="1:6" x14ac:dyDescent="0.3">
      <c r="A149"/>
      <c r="B149"/>
      <c r="C149"/>
      <c r="D149"/>
      <c r="E149"/>
      <c r="F149"/>
    </row>
    <row r="150" spans="1:6" x14ac:dyDescent="0.3">
      <c r="A150"/>
      <c r="B150"/>
      <c r="C150"/>
      <c r="D150"/>
      <c r="E150"/>
      <c r="F150"/>
    </row>
    <row r="151" spans="1:6" x14ac:dyDescent="0.3">
      <c r="A151"/>
      <c r="B151"/>
      <c r="C151"/>
      <c r="D151"/>
      <c r="E151"/>
      <c r="F151"/>
    </row>
    <row r="152" spans="1:6" x14ac:dyDescent="0.3">
      <c r="A152"/>
      <c r="B152"/>
      <c r="C152"/>
      <c r="D152"/>
      <c r="E152"/>
      <c r="F152"/>
    </row>
    <row r="153" spans="1:6" x14ac:dyDescent="0.3">
      <c r="A153"/>
      <c r="B153"/>
      <c r="C153"/>
      <c r="D153"/>
      <c r="E153"/>
      <c r="F153"/>
    </row>
    <row r="154" spans="1:6" x14ac:dyDescent="0.3">
      <c r="A154"/>
      <c r="B154"/>
      <c r="C154"/>
      <c r="D154"/>
      <c r="E154"/>
      <c r="F154"/>
    </row>
    <row r="155" spans="1:6" x14ac:dyDescent="0.3">
      <c r="A155"/>
      <c r="B155"/>
      <c r="C155"/>
      <c r="D155"/>
      <c r="E155"/>
      <c r="F155"/>
    </row>
    <row r="156" spans="1:6" x14ac:dyDescent="0.3">
      <c r="A156"/>
      <c r="B156"/>
      <c r="C156"/>
      <c r="D156"/>
      <c r="E156"/>
      <c r="F156"/>
    </row>
    <row r="157" spans="1:6" x14ac:dyDescent="0.3">
      <c r="A157"/>
      <c r="B157"/>
      <c r="C157"/>
      <c r="D157"/>
      <c r="E157"/>
      <c r="F157"/>
    </row>
    <row r="158" spans="1:6" x14ac:dyDescent="0.3">
      <c r="A158"/>
      <c r="B158"/>
      <c r="C158"/>
      <c r="D158"/>
      <c r="E158"/>
      <c r="F158"/>
    </row>
    <row r="159" spans="1:6" x14ac:dyDescent="0.3">
      <c r="A159"/>
      <c r="B159"/>
      <c r="C159"/>
      <c r="D159"/>
      <c r="E159"/>
      <c r="F159"/>
    </row>
    <row r="160" spans="1:6" x14ac:dyDescent="0.3">
      <c r="A160"/>
      <c r="B160"/>
      <c r="C160"/>
      <c r="D160"/>
      <c r="E160"/>
      <c r="F160"/>
    </row>
    <row r="161" spans="1:6" x14ac:dyDescent="0.3">
      <c r="A161"/>
      <c r="B161"/>
      <c r="C161"/>
      <c r="D161"/>
      <c r="E161"/>
      <c r="F161"/>
    </row>
    <row r="162" spans="1:6" x14ac:dyDescent="0.3">
      <c r="A162"/>
      <c r="B162"/>
      <c r="C162"/>
      <c r="D162"/>
      <c r="E162"/>
      <c r="F162"/>
    </row>
    <row r="163" spans="1:6" x14ac:dyDescent="0.3">
      <c r="A163"/>
      <c r="B163"/>
      <c r="C163"/>
      <c r="D163"/>
      <c r="E163"/>
      <c r="F163"/>
    </row>
    <row r="164" spans="1:6" x14ac:dyDescent="0.3">
      <c r="A164"/>
      <c r="B164"/>
      <c r="C164"/>
      <c r="D164"/>
      <c r="E164"/>
      <c r="F164"/>
    </row>
    <row r="165" spans="1:6" x14ac:dyDescent="0.3">
      <c r="A165"/>
      <c r="B165"/>
      <c r="C165"/>
      <c r="D165"/>
      <c r="E165"/>
      <c r="F165"/>
    </row>
    <row r="166" spans="1:6" x14ac:dyDescent="0.3">
      <c r="A166"/>
      <c r="B166"/>
      <c r="C166"/>
      <c r="D166"/>
      <c r="E166"/>
      <c r="F166"/>
    </row>
    <row r="167" spans="1:6" x14ac:dyDescent="0.3">
      <c r="A167"/>
      <c r="B167"/>
      <c r="C167"/>
      <c r="D167"/>
      <c r="E167"/>
      <c r="F167"/>
    </row>
    <row r="168" spans="1:6" x14ac:dyDescent="0.3">
      <c r="A168"/>
      <c r="B168"/>
      <c r="C168"/>
      <c r="D168"/>
      <c r="E168"/>
      <c r="F168"/>
    </row>
    <row r="169" spans="1:6" x14ac:dyDescent="0.3">
      <c r="A169"/>
      <c r="B169"/>
      <c r="C169"/>
      <c r="D169"/>
      <c r="E169"/>
      <c r="F169"/>
    </row>
    <row r="170" spans="1:6" x14ac:dyDescent="0.3">
      <c r="A170"/>
      <c r="B170"/>
      <c r="C170"/>
      <c r="D170"/>
      <c r="E170"/>
      <c r="F170"/>
    </row>
    <row r="171" spans="1:6" x14ac:dyDescent="0.3">
      <c r="A171"/>
      <c r="B171"/>
      <c r="C171"/>
      <c r="D171"/>
      <c r="E171"/>
      <c r="F171"/>
    </row>
    <row r="172" spans="1:6" x14ac:dyDescent="0.3">
      <c r="A172"/>
      <c r="B172"/>
      <c r="C172"/>
      <c r="D172"/>
      <c r="E172"/>
      <c r="F172"/>
    </row>
    <row r="173" spans="1:6" x14ac:dyDescent="0.3">
      <c r="A173"/>
      <c r="B173"/>
      <c r="C173"/>
      <c r="D173"/>
      <c r="E173"/>
      <c r="F173"/>
    </row>
    <row r="174" spans="1:6" x14ac:dyDescent="0.3">
      <c r="A174"/>
      <c r="B174"/>
      <c r="C174"/>
      <c r="D174"/>
      <c r="E174"/>
      <c r="F174"/>
    </row>
    <row r="175" spans="1:6" x14ac:dyDescent="0.3">
      <c r="A175"/>
      <c r="B175"/>
      <c r="C175"/>
      <c r="D175"/>
      <c r="E175"/>
      <c r="F175"/>
    </row>
    <row r="176" spans="1:6" x14ac:dyDescent="0.3">
      <c r="A176"/>
      <c r="B176"/>
      <c r="C176"/>
      <c r="D176"/>
      <c r="E176"/>
      <c r="F176"/>
    </row>
    <row r="177" spans="1:6" x14ac:dyDescent="0.3">
      <c r="A177"/>
      <c r="B177"/>
      <c r="C177"/>
      <c r="D177"/>
      <c r="E177"/>
      <c r="F177"/>
    </row>
    <row r="178" spans="1:6" x14ac:dyDescent="0.3">
      <c r="A178"/>
      <c r="B178"/>
      <c r="C178"/>
      <c r="D178"/>
      <c r="E178"/>
      <c r="F178"/>
    </row>
    <row r="179" spans="1:6" x14ac:dyDescent="0.3">
      <c r="A179"/>
      <c r="B179"/>
      <c r="C179"/>
      <c r="D179"/>
      <c r="E179"/>
      <c r="F179"/>
    </row>
    <row r="180" spans="1:6" x14ac:dyDescent="0.3">
      <c r="A180"/>
      <c r="B180"/>
      <c r="C180"/>
      <c r="D180"/>
      <c r="E180"/>
      <c r="F18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level</vt:lpstr>
      <vt:lpstr>O level</vt:lpstr>
      <vt:lpstr>All-Level-1-KCs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Đoàn</dc:creator>
  <cp:keywords/>
  <dc:description/>
  <cp:lastModifiedBy>#BUI GIA NHAT MINH#</cp:lastModifiedBy>
  <cp:revision/>
  <dcterms:created xsi:type="dcterms:W3CDTF">2025-05-14T06:01:01Z</dcterms:created>
  <dcterms:modified xsi:type="dcterms:W3CDTF">2025-06-04T01:11:44Z</dcterms:modified>
  <cp:category/>
  <cp:contentStatus/>
</cp:coreProperties>
</file>